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Monthly Performance" sheetId="2" state="visible" r:id="rId2"/>
    <sheet name="Lead Source" sheetId="3" state="visible" r:id="rId3"/>
    <sheet name="Dealer Performance" sheetId="4" state="visible" r:id="rId4"/>
    <sheet name="Data Quality" sheetId="5" state="visible" r:id="rId5"/>
    <sheet name="Field Profile" sheetId="6" state="visible" r:id="rId6"/>
    <sheet name="KPI_Source" sheetId="7" state="hidden" r:id="rId7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8">
    <numFmt numFmtId="164" formatCode="0.0%"/>
    <numFmt numFmtId="165" formatCode="&quot;CHF&quot; #,##0.0,,"/>
    <numFmt numFmtId="166" formatCode="yyyy-mm-dd"/>
    <numFmt numFmtId="167" formatCode="+0.0%;-0.0%;0.0%"/>
    <numFmt numFmtId="168" formatCode="&quot;CHF&quot; #,##0"/>
    <numFmt numFmtId="169" formatCode="0.0 &quot;h&quot;"/>
    <numFmt numFmtId="170" formatCode="+0.0 &quot;pp&quot;;-0.0 &quot;pp&quot;;0.0 &quot;pp&quot;"/>
    <numFmt numFmtId="171" formatCode="0.000%"/>
  </numFmts>
  <fonts count="8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667085"/>
      <sz val="10"/>
    </font>
    <font>
      <b val="1"/>
      <color rgb="00667085"/>
    </font>
    <font>
      <b val="1"/>
      <color rgb="001F4E79"/>
      <sz val="18"/>
    </font>
    <font>
      <b val="1"/>
      <color rgb="00FFFFFF"/>
    </font>
    <font>
      <i val="1"/>
      <color rgb="00667085"/>
    </font>
    <font>
      <b val="1"/>
      <color rgb="001F4E79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bottom style="thin">
        <color rgb="00D0D5D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3" fontId="4" fillId="3" borderId="0" applyAlignment="1" pivotButton="0" quotePrefix="0" xfId="0">
      <alignment vertical="center"/>
    </xf>
    <xf numFmtId="164" fontId="4" fillId="3" borderId="0" applyAlignment="1" pivotButton="0" quotePrefix="0" xfId="0">
      <alignment vertical="center"/>
    </xf>
    <xf numFmtId="165" fontId="4" fillId="3" borderId="0" applyAlignment="1" pivotButton="0" quotePrefix="0" xfId="0">
      <alignment vertical="center"/>
    </xf>
    <xf numFmtId="10" fontId="4" fillId="3" borderId="0" applyAlignment="1" pivotButton="0" quotePrefix="0" xfId="0">
      <alignment vertical="center"/>
    </xf>
    <xf numFmtId="0" fontId="5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6" fillId="0" borderId="0" pivotButton="0" quotePrefix="0" xfId="0"/>
    <xf numFmtId="17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0" fontId="7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inquiries and conversion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Performance'!B4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Performance'!$A$5:$A$52</f>
            </numRef>
          </cat>
          <val>
            <numRef>
              <f>'Monthly Performance'!$B$5:$B$52</f>
            </numRef>
          </val>
        </ser>
        <axId val="10"/>
        <axId val="100"/>
      </lineChart>
      <lineChart>
        <grouping val="standard"/>
        <ser>
          <idx val="1"/>
          <order val="1"/>
          <tx>
            <strRef>
              <f>'Monthly Performance'!D4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'Monthly Performance'!$D$5:$D$52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Inquiries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Conversion rate</a:t>
                </a:r>
              </a:p>
            </rich>
          </tx>
        </title>
        <numFmt formatCode="0%" sourceLinked="0"/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Conversion rate by lead source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'Lead Source'!D4</f>
            </strRef>
          </tx>
          <spPr>
            <a:ln>
              <a:prstDash val="solid"/>
            </a:ln>
          </spPr>
          <cat>
            <numRef>
              <f>'Lead Source'!$A$5:$A$10</f>
            </numRef>
          </cat>
          <val>
            <numRef>
              <f>'Lead Source'!$D$5:$D$10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Response time vs win rate</a:t>
            </a:r>
          </a:p>
        </rich>
      </tx>
    </title>
    <plotArea>
      <scatterChart>
        <ser>
          <idx val="0"/>
          <order val="0"/>
          <tx>
            <v>Dealers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'Dealer Performance'!$G$5:$G$154</f>
            </numRef>
          </xVal>
          <yVal>
            <numRef>
              <f>'Dealer Performance'!$F$5:$F$154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response hours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Win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3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MonthlyPerformance" displayName="tblMonthlyPerformance" ref="A4:F52" headerRowCount="1">
  <autoFilter ref="A4:F52"/>
  <tableColumns count="6">
    <tableColumn id="1" name="Month"/>
    <tableColumn id="2" name="Inquiries"/>
    <tableColumn id="3" name="Conversions"/>
    <tableColumn id="4" name="Conversion Rate"/>
    <tableColumn id="5" name="Accepted Value (CHF m)"/>
    <tableColumn id="6" name="MoM Inquiry Growth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LeadSource" displayName="tblLeadSource" ref="A4:H10" headerRowCount="1">
  <autoFilter ref="A4:H10"/>
  <tableColumns count="8">
    <tableColumn id="1" name="Lead Source"/>
    <tableColumn id="2" name="Inquiries"/>
    <tableColumn id="3" name="Conversions"/>
    <tableColumn id="4" name="Conversion Rate"/>
    <tableColumn id="5" name="Average Sale Value"/>
    <tableColumn id="6" name="Average Fastest Response (h)"/>
    <tableColumn id="7" name="Portfolio Lift (pp)"/>
    <tableColumn id="8" name="Conversion Ran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DealerPerformance" displayName="tblDealerPerformance" ref="A4:K154" headerRowCount="1">
  <autoFilter ref="A4:K154"/>
  <tableColumns count="11">
    <tableColumn id="1" name="Dealer ID"/>
    <tableColumn id="2" name="Dealer"/>
    <tableColumn id="3" name="Region"/>
    <tableColumn id="4" name="Quotes"/>
    <tableColumn id="5" name="Wins"/>
    <tableColumn id="6" name="Win Rate"/>
    <tableColumn id="7" name="Average Response (h)"/>
    <tableColumn id="8" name="Average Quote / Market"/>
    <tableColumn id="9" name="Accepted Value"/>
    <tableColumn id="10" name="Eligible"/>
    <tableColumn id="11" name="Eligible Ran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DataQuality" displayName="tblDataQuality" ref="A4:F14" headerRowCount="1">
  <autoFilter ref="A4:F14"/>
  <tableColumns count="6">
    <tableColumn id="1" name="Stage"/>
    <tableColumn id="2" name="Metric"/>
    <tableColumn id="3" name="Passed Checks"/>
    <tableColumn id="4" name="Applicable Checks"/>
    <tableColumn id="5" name="Rate"/>
    <tableColumn id="6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QualityIssues" displayName="tblQualityIssues" ref="A17:F35" headerRowCount="1">
  <autoFilter ref="A17:F35"/>
  <tableColumns count="6">
    <tableColumn id="1" name="Issue Id"/>
    <tableColumn id="2" name="Table Name"/>
    <tableColumn id="3" name="Issue Type"/>
    <tableColumn id="4" name="Affected Rows"/>
    <tableColumn id="5" name="Action"/>
    <tableColumn id="6" name="Final Resul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FieldProfile" displayName="tblFieldProfile" ref="A4:G93" headerRowCount="1">
  <autoFilter ref="A4:G93"/>
  <tableColumns count="7">
    <tableColumn id="1" name="Table"/>
    <tableColumn id="2" name="Column"/>
    <tableColumn id="3" name="Pandas Type"/>
    <tableColumn id="4" name="Rows"/>
    <tableColumn id="5" name="Null Rate"/>
    <tableColumn id="6" name="Distinct Values"/>
    <tableColumn id="7" name="Exampl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KpiSource" displayName="tblKpiSource" ref="A1:B17" headerRowCount="1">
  <autoFilter ref="A1:B17"/>
  <tableColumns count="2">
    <tableColumn id="1" name="metric_name"/>
    <tableColumn id="2" name="valu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2.xml" Id="rId2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table" Target="/xl/tables/table3.xml" Id="rId2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Relationship Type="http://schemas.openxmlformats.org/officeDocument/2006/relationships/table" Target="/xl/tables/table5.xml" Id="rId2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6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4" customHeight="1">
      <c r="A1" s="1" t="inlineStr">
        <is>
          <t>Automotive Commercial Analytics</t>
        </is>
      </c>
    </row>
    <row r="2">
      <c r="A2" s="2" t="inlineStr">
        <is>
          <t>Decision workbook | Synthetic Swiss marketplace data | CHF | 2022-2025</t>
        </is>
      </c>
    </row>
    <row r="4">
      <c r="A4" s="3" t="inlineStr">
        <is>
          <t>Total inquiries</t>
        </is>
      </c>
      <c r="C4" s="3" t="inlineStr">
        <is>
          <t>Conversion rate</t>
        </is>
      </c>
      <c r="E4" s="3" t="inlineStr">
        <is>
          <t>Accepted value (CHF m)</t>
        </is>
      </c>
      <c r="G4" s="3" t="inlineStr">
        <is>
          <t>Quote anomaly rate</t>
        </is>
      </c>
    </row>
    <row r="5">
      <c r="A5" s="4">
        <f>KPI_Source!B2</f>
        <v/>
      </c>
      <c r="C5" s="5">
        <f>KPI_Source!B5</f>
        <v/>
      </c>
      <c r="E5" s="6">
        <f>KPI_Source!B7</f>
        <v/>
      </c>
      <c r="G5" s="7">
        <f>KPI_Source!B15</f>
        <v/>
      </c>
    </row>
    <row r="6"/>
    <row r="8">
      <c r="A8" s="8" t="inlineStr">
        <is>
          <t>Decision</t>
        </is>
      </c>
      <c r="B8" s="8" t="inlineStr">
        <is>
          <t>Evidence</t>
        </is>
      </c>
      <c r="C8" s="8" t="inlineStr">
        <is>
          <t>Management action</t>
        </is>
      </c>
      <c r="D8" s="8" t="inlineStr">
        <is>
          <t>Owner</t>
        </is>
      </c>
      <c r="E8" s="8" t="n"/>
      <c r="F8" s="8" t="n"/>
      <c r="G8" s="8" t="n"/>
      <c r="H8" s="8" t="n"/>
    </row>
    <row r="9" ht="42" customHeight="1">
      <c r="A9" s="9" t="inlineStr">
        <is>
          <t>Dealer response SLA</t>
        </is>
      </c>
      <c r="B9" s="9" t="inlineStr">
        <is>
          <t>&lt;8h conversion 33.27% vs 29.43%</t>
        </is>
      </c>
      <c r="C9" s="9" t="inlineStr">
        <is>
          <t>Pilot an 8-hour first-quote SLA; track conversion and dealer coverage.</t>
        </is>
      </c>
      <c r="D9" s="9" t="inlineStr">
        <is>
          <t>Marketplace operations</t>
        </is>
      </c>
      <c r="E9" s="9" t="n"/>
      <c r="F9" s="9" t="n"/>
      <c r="G9" s="9" t="n"/>
      <c r="H9" s="9" t="n"/>
    </row>
    <row r="10" ht="42" customHeight="1">
      <c r="A10" s="9" t="inlineStr">
        <is>
          <t>Channel allocation</t>
        </is>
      </c>
      <c r="B10" s="9" t="inlineStr">
        <is>
          <t>Dealer Referral leads Social Media by 11.62 pp</t>
        </is>
      </c>
      <c r="C10" s="9" t="inlineStr">
        <is>
          <t>Protect referral capacity; review social targeting and lead qualification.</t>
        </is>
      </c>
      <c r="D10" s="9" t="inlineStr">
        <is>
          <t>Commercial / marketing</t>
        </is>
      </c>
      <c r="E10" s="9" t="n"/>
      <c r="F10" s="9" t="n"/>
      <c r="G10" s="9" t="n"/>
      <c r="H10" s="9" t="n"/>
    </row>
    <row r="11" ht="42" customHeight="1">
      <c r="A11" s="9" t="inlineStr">
        <is>
          <t>Older-vehicle pricing</t>
        </is>
      </c>
      <c r="B11" s="9" t="inlineStr">
        <is>
          <t>10+ year relative quote spread is 2.03x the 0-2 year spread</t>
        </is>
      </c>
      <c r="C11" s="9" t="inlineStr">
        <is>
          <t>Set wider customer expectations and request stronger condition evidence.</t>
        </is>
      </c>
      <c r="D11" s="9" t="inlineStr">
        <is>
          <t>Pricing operations</t>
        </is>
      </c>
      <c r="E11" s="9" t="n"/>
      <c r="F11" s="9" t="n"/>
      <c r="G11" s="9" t="n"/>
      <c r="H11" s="9" t="n"/>
    </row>
    <row r="12" ht="42" customHeight="1">
      <c r="A12" s="9" t="inlineStr">
        <is>
          <t>Pricing exceptions</t>
        </is>
      </c>
      <c r="B12" s="9" t="inlineStr">
        <is>
          <t>1,162 soft anomalies remain reviewable</t>
        </is>
      </c>
      <c r="C12" s="9" t="inlineStr">
        <is>
          <t>Triage flagged quotes; keep hard-invalid values out of reporting.</t>
        </is>
      </c>
      <c r="D12" s="9" t="inlineStr">
        <is>
          <t>Data + pricing</t>
        </is>
      </c>
      <c r="E12" s="9" t="n"/>
      <c r="F12" s="9" t="n"/>
      <c r="G12" s="9" t="n"/>
      <c r="H12" s="9" t="n"/>
    </row>
    <row r="15">
      <c r="A15" s="10" t="inlineStr">
        <is>
          <t>Use the detailed tabs to challenge each headline. Workbook formulas recalculate in Excel; source values come from analysis_summary.json.</t>
        </is>
      </c>
    </row>
  </sheetData>
  <mergeCells count="16">
    <mergeCell ref="A4:B4"/>
    <mergeCell ref="G4:H4"/>
    <mergeCell ref="E4:F4"/>
    <mergeCell ref="D12:H12"/>
    <mergeCell ref="D8:H8"/>
    <mergeCell ref="A15:H15"/>
    <mergeCell ref="D10:H10"/>
    <mergeCell ref="A2:H2"/>
    <mergeCell ref="D11:H11"/>
    <mergeCell ref="C5:D6"/>
    <mergeCell ref="A5:B6"/>
    <mergeCell ref="G5:H6"/>
    <mergeCell ref="E5:F6"/>
    <mergeCell ref="A1:H1"/>
    <mergeCell ref="D9:H9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7" customWidth="1" min="4" max="4"/>
    <col width="18" customWidth="1" min="5" max="5"/>
    <col width="19" customWidth="1" min="6" max="6"/>
  </cols>
  <sheetData>
    <row r="1" ht="34" customHeight="1">
      <c r="A1" s="1" t="inlineStr">
        <is>
          <t>Monthly Performance</t>
        </is>
      </c>
    </row>
    <row r="2">
      <c r="A2" s="2" t="inlineStr">
        <is>
          <t>Inquiry-grain trend with formula-derived rates</t>
        </is>
      </c>
    </row>
    <row r="4">
      <c r="A4" s="8" t="inlineStr">
        <is>
          <t>Month</t>
        </is>
      </c>
      <c r="B4" s="8" t="inlineStr">
        <is>
          <t>Inquiries</t>
        </is>
      </c>
      <c r="C4" s="8" t="inlineStr">
        <is>
          <t>Conversions</t>
        </is>
      </c>
      <c r="D4" s="8" t="inlineStr">
        <is>
          <t>Conversion Rate</t>
        </is>
      </c>
      <c r="E4" s="8" t="inlineStr">
        <is>
          <t>Accepted Value (CHF m)</t>
        </is>
      </c>
      <c r="F4" s="8" t="inlineStr">
        <is>
          <t>MoM Inquiry Growth</t>
        </is>
      </c>
      <c r="G4" s="8" t="n"/>
      <c r="H4" s="8" t="n"/>
    </row>
    <row r="5">
      <c r="A5" s="11" t="n">
        <v>44562</v>
      </c>
      <c r="B5" t="n">
        <v>1614</v>
      </c>
      <c r="C5" t="n">
        <v>506</v>
      </c>
      <c r="D5" s="12">
        <f>IFERROR(C5/B5,0)</f>
        <v/>
      </c>
      <c r="E5" s="13" t="n">
        <v>11274209.49</v>
      </c>
      <c r="F5" s="14" t="inlineStr"/>
    </row>
    <row r="6">
      <c r="A6" s="11" t="n">
        <v>44593</v>
      </c>
      <c r="B6" t="n">
        <v>1484</v>
      </c>
      <c r="C6" t="n">
        <v>462</v>
      </c>
      <c r="D6" s="12">
        <f>IFERROR(C6/B6,0)</f>
        <v/>
      </c>
      <c r="E6" s="13" t="n">
        <v>9774778.689999999</v>
      </c>
      <c r="F6" s="14">
        <f>IFERROR(B6/B5-1,"")</f>
        <v/>
      </c>
    </row>
    <row r="7">
      <c r="A7" s="11" t="n">
        <v>44621</v>
      </c>
      <c r="B7" t="n">
        <v>2015</v>
      </c>
      <c r="C7" t="n">
        <v>680</v>
      </c>
      <c r="D7" s="12">
        <f>IFERROR(C7/B7,0)</f>
        <v/>
      </c>
      <c r="E7" s="13" t="n">
        <v>14679944.18</v>
      </c>
      <c r="F7" s="14">
        <f>IFERROR(B7/B6-1,"")</f>
        <v/>
      </c>
    </row>
    <row r="8">
      <c r="A8" s="11" t="n">
        <v>44652</v>
      </c>
      <c r="B8" t="n">
        <v>1918</v>
      </c>
      <c r="C8" t="n">
        <v>641</v>
      </c>
      <c r="D8" s="12">
        <f>IFERROR(C8/B8,0)</f>
        <v/>
      </c>
      <c r="E8" s="13" t="n">
        <v>13695371.74</v>
      </c>
      <c r="F8" s="14">
        <f>IFERROR(B8/B7-1,"")</f>
        <v/>
      </c>
    </row>
    <row r="9">
      <c r="A9" s="11" t="n">
        <v>44682</v>
      </c>
      <c r="B9" t="n">
        <v>2015</v>
      </c>
      <c r="C9" t="n">
        <v>698</v>
      </c>
      <c r="D9" s="12">
        <f>IFERROR(C9/B9,0)</f>
        <v/>
      </c>
      <c r="E9" s="13" t="n">
        <v>14936381.75</v>
      </c>
      <c r="F9" s="14">
        <f>IFERROR(B9/B8-1,"")</f>
        <v/>
      </c>
    </row>
    <row r="10">
      <c r="A10" s="11" t="n">
        <v>44713</v>
      </c>
      <c r="B10" t="n">
        <v>1832</v>
      </c>
      <c r="C10" t="n">
        <v>587</v>
      </c>
      <c r="D10" s="12">
        <f>IFERROR(C10/B10,0)</f>
        <v/>
      </c>
      <c r="E10" s="13" t="n">
        <v>12451260.09</v>
      </c>
      <c r="F10" s="14">
        <f>IFERROR(B10/B9-1,"")</f>
        <v/>
      </c>
    </row>
    <row r="11">
      <c r="A11" s="11" t="n">
        <v>44743</v>
      </c>
      <c r="B11" t="n">
        <v>1747</v>
      </c>
      <c r="C11" t="n">
        <v>563</v>
      </c>
      <c r="D11" s="12">
        <f>IFERROR(C11/B11,0)</f>
        <v/>
      </c>
      <c r="E11" s="13" t="n">
        <v>11755031.64</v>
      </c>
      <c r="F11" s="14">
        <f>IFERROR(B11/B10-1,"")</f>
        <v/>
      </c>
    </row>
    <row r="12">
      <c r="A12" s="11" t="n">
        <v>44774</v>
      </c>
      <c r="B12" t="n">
        <v>1720</v>
      </c>
      <c r="C12" t="n">
        <v>543</v>
      </c>
      <c r="D12" s="12">
        <f>IFERROR(C12/B12,0)</f>
        <v/>
      </c>
      <c r="E12" s="13" t="n">
        <v>11567806.88</v>
      </c>
      <c r="F12" s="14">
        <f>IFERROR(B12/B11-1,"")</f>
        <v/>
      </c>
    </row>
    <row r="13">
      <c r="A13" s="11" t="n">
        <v>44805</v>
      </c>
      <c r="B13" t="n">
        <v>2021</v>
      </c>
      <c r="C13" t="n">
        <v>664</v>
      </c>
      <c r="D13" s="12">
        <f>IFERROR(C13/B13,0)</f>
        <v/>
      </c>
      <c r="E13" s="13" t="n">
        <v>13817642.08</v>
      </c>
      <c r="F13" s="14">
        <f>IFERROR(B13/B12-1,"")</f>
        <v/>
      </c>
    </row>
    <row r="14">
      <c r="A14" s="11" t="n">
        <v>44835</v>
      </c>
      <c r="B14" t="n">
        <v>2008</v>
      </c>
      <c r="C14" t="n">
        <v>688</v>
      </c>
      <c r="D14" s="12">
        <f>IFERROR(C14/B14,0)</f>
        <v/>
      </c>
      <c r="E14" s="13" t="n">
        <v>14589685.59</v>
      </c>
      <c r="F14" s="14">
        <f>IFERROR(B14/B13-1,"")</f>
        <v/>
      </c>
    </row>
    <row r="15">
      <c r="A15" s="11" t="n">
        <v>44866</v>
      </c>
      <c r="B15" t="n">
        <v>1673</v>
      </c>
      <c r="C15" t="n">
        <v>521</v>
      </c>
      <c r="D15" s="12">
        <f>IFERROR(C15/B15,0)</f>
        <v/>
      </c>
      <c r="E15" s="13" t="n">
        <v>11280506.25</v>
      </c>
      <c r="F15" s="14">
        <f>IFERROR(B15/B14-1,"")</f>
        <v/>
      </c>
    </row>
    <row r="16">
      <c r="A16" s="11" t="n">
        <v>44896</v>
      </c>
      <c r="B16" t="n">
        <v>1409</v>
      </c>
      <c r="C16" t="n">
        <v>423</v>
      </c>
      <c r="D16" s="12">
        <f>IFERROR(C16/B16,0)</f>
        <v/>
      </c>
      <c r="E16" s="13" t="n">
        <v>9415855.039999999</v>
      </c>
      <c r="F16" s="14">
        <f>IFERROR(B16/B15-1,"")</f>
        <v/>
      </c>
    </row>
    <row r="17">
      <c r="A17" s="11" t="n">
        <v>44927</v>
      </c>
      <c r="B17" t="n">
        <v>1753</v>
      </c>
      <c r="C17" t="n">
        <v>578</v>
      </c>
      <c r="D17" s="12">
        <f>IFERROR(C17/B17,0)</f>
        <v/>
      </c>
      <c r="E17" s="13" t="n">
        <v>12453102.58</v>
      </c>
      <c r="F17" s="14">
        <f>IFERROR(B17/B16-1,"")</f>
        <v/>
      </c>
    </row>
    <row r="18">
      <c r="A18" s="11" t="n">
        <v>44958</v>
      </c>
      <c r="B18" t="n">
        <v>1701</v>
      </c>
      <c r="C18" t="n">
        <v>503</v>
      </c>
      <c r="D18" s="12">
        <f>IFERROR(C18/B18,0)</f>
        <v/>
      </c>
      <c r="E18" s="13" t="n">
        <v>10913131.27</v>
      </c>
      <c r="F18" s="14">
        <f>IFERROR(B18/B17-1,"")</f>
        <v/>
      </c>
    </row>
    <row r="19">
      <c r="A19" s="11" t="n">
        <v>44986</v>
      </c>
      <c r="B19" t="n">
        <v>2238</v>
      </c>
      <c r="C19" t="n">
        <v>815</v>
      </c>
      <c r="D19" s="12">
        <f>IFERROR(C19/B19,0)</f>
        <v/>
      </c>
      <c r="E19" s="13" t="n">
        <v>18173576.62</v>
      </c>
      <c r="F19" s="14">
        <f>IFERROR(B19/B18-1,"")</f>
        <v/>
      </c>
    </row>
    <row r="20">
      <c r="A20" s="11" t="n">
        <v>45017</v>
      </c>
      <c r="B20" t="n">
        <v>2165</v>
      </c>
      <c r="C20" t="n">
        <v>737</v>
      </c>
      <c r="D20" s="12">
        <f>IFERROR(C20/B20,0)</f>
        <v/>
      </c>
      <c r="E20" s="13" t="n">
        <v>15931400.18</v>
      </c>
      <c r="F20" s="14">
        <f>IFERROR(B20/B19-1,"")</f>
        <v/>
      </c>
    </row>
    <row r="21">
      <c r="A21" s="11" t="n">
        <v>45047</v>
      </c>
      <c r="B21" t="n">
        <v>2161</v>
      </c>
      <c r="C21" t="n">
        <v>711</v>
      </c>
      <c r="D21" s="12">
        <f>IFERROR(C21/B21,0)</f>
        <v/>
      </c>
      <c r="E21" s="13" t="n">
        <v>15769746.45</v>
      </c>
      <c r="F21" s="14">
        <f>IFERROR(B21/B20-1,"")</f>
        <v/>
      </c>
    </row>
    <row r="22">
      <c r="A22" s="11" t="n">
        <v>45078</v>
      </c>
      <c r="B22" t="n">
        <v>2057</v>
      </c>
      <c r="C22" t="n">
        <v>624</v>
      </c>
      <c r="D22" s="12">
        <f>IFERROR(C22/B22,0)</f>
        <v/>
      </c>
      <c r="E22" s="13" t="n">
        <v>13255947.99</v>
      </c>
      <c r="F22" s="14">
        <f>IFERROR(B22/B21-1,"")</f>
        <v/>
      </c>
    </row>
    <row r="23">
      <c r="A23" s="11" t="n">
        <v>45108</v>
      </c>
      <c r="B23" t="n">
        <v>1882</v>
      </c>
      <c r="C23" t="n">
        <v>625</v>
      </c>
      <c r="D23" s="12">
        <f>IFERROR(C23/B23,0)</f>
        <v/>
      </c>
      <c r="E23" s="13" t="n">
        <v>13816461.52</v>
      </c>
      <c r="F23" s="14">
        <f>IFERROR(B23/B22-1,"")</f>
        <v/>
      </c>
    </row>
    <row r="24">
      <c r="A24" s="11" t="n">
        <v>45139</v>
      </c>
      <c r="B24" t="n">
        <v>1971</v>
      </c>
      <c r="C24" t="n">
        <v>610</v>
      </c>
      <c r="D24" s="12">
        <f>IFERROR(C24/B24,0)</f>
        <v/>
      </c>
      <c r="E24" s="13" t="n">
        <v>13486831.81</v>
      </c>
      <c r="F24" s="14">
        <f>IFERROR(B24/B23-1,"")</f>
        <v/>
      </c>
    </row>
    <row r="25">
      <c r="A25" s="11" t="n">
        <v>45170</v>
      </c>
      <c r="B25" t="n">
        <v>2062</v>
      </c>
      <c r="C25" t="n">
        <v>693</v>
      </c>
      <c r="D25" s="12">
        <f>IFERROR(C25/B25,0)</f>
        <v/>
      </c>
      <c r="E25" s="13" t="n">
        <v>14792751.86</v>
      </c>
      <c r="F25" s="14">
        <f>IFERROR(B25/B24-1,"")</f>
        <v/>
      </c>
    </row>
    <row r="26">
      <c r="A26" s="11" t="n">
        <v>45200</v>
      </c>
      <c r="B26" t="n">
        <v>2260</v>
      </c>
      <c r="C26" t="n">
        <v>761</v>
      </c>
      <c r="D26" s="12">
        <f>IFERROR(C26/B26,0)</f>
        <v/>
      </c>
      <c r="E26" s="13" t="n">
        <v>16186924.94</v>
      </c>
      <c r="F26" s="14">
        <f>IFERROR(B26/B25-1,"")</f>
        <v/>
      </c>
    </row>
    <row r="27">
      <c r="A27" s="11" t="n">
        <v>45231</v>
      </c>
      <c r="B27" t="n">
        <v>1915</v>
      </c>
      <c r="C27" t="n">
        <v>586</v>
      </c>
      <c r="D27" s="12">
        <f>IFERROR(C27/B27,0)</f>
        <v/>
      </c>
      <c r="E27" s="13" t="n">
        <v>12493748.75</v>
      </c>
      <c r="F27" s="14">
        <f>IFERROR(B27/B26-1,"")</f>
        <v/>
      </c>
    </row>
    <row r="28">
      <c r="A28" s="11" t="n">
        <v>45261</v>
      </c>
      <c r="B28" t="n">
        <v>1578</v>
      </c>
      <c r="C28" t="n">
        <v>462</v>
      </c>
      <c r="D28" s="12">
        <f>IFERROR(C28/B28,0)</f>
        <v/>
      </c>
      <c r="E28" s="13" t="n">
        <v>9938393.91</v>
      </c>
      <c r="F28" s="14">
        <f>IFERROR(B28/B27-1,"")</f>
        <v/>
      </c>
    </row>
    <row r="29">
      <c r="A29" s="11" t="n">
        <v>45292</v>
      </c>
      <c r="B29" t="n">
        <v>1833</v>
      </c>
      <c r="C29" t="n">
        <v>575</v>
      </c>
      <c r="D29" s="12">
        <f>IFERROR(C29/B29,0)</f>
        <v/>
      </c>
      <c r="E29" s="13" t="n">
        <v>12348605.26</v>
      </c>
      <c r="F29" s="14">
        <f>IFERROR(B29/B28-1,"")</f>
        <v/>
      </c>
    </row>
    <row r="30">
      <c r="A30" s="11" t="n">
        <v>45323</v>
      </c>
      <c r="B30" t="n">
        <v>1854</v>
      </c>
      <c r="C30" t="n">
        <v>575</v>
      </c>
      <c r="D30" s="12">
        <f>IFERROR(C30/B30,0)</f>
        <v/>
      </c>
      <c r="E30" s="13" t="n">
        <v>12548961.83</v>
      </c>
      <c r="F30" s="14">
        <f>IFERROR(B30/B29-1,"")</f>
        <v/>
      </c>
    </row>
    <row r="31">
      <c r="A31" s="11" t="n">
        <v>45352</v>
      </c>
      <c r="B31" t="n">
        <v>2482</v>
      </c>
      <c r="C31" t="n">
        <v>868</v>
      </c>
      <c r="D31" s="12">
        <f>IFERROR(C31/B31,0)</f>
        <v/>
      </c>
      <c r="E31" s="13" t="n">
        <v>18583557.2</v>
      </c>
      <c r="F31" s="14">
        <f>IFERROR(B31/B30-1,"")</f>
        <v/>
      </c>
    </row>
    <row r="32">
      <c r="A32" s="11" t="n">
        <v>45383</v>
      </c>
      <c r="B32" t="n">
        <v>2430</v>
      </c>
      <c r="C32" t="n">
        <v>825</v>
      </c>
      <c r="D32" s="12">
        <f>IFERROR(C32/B32,0)</f>
        <v/>
      </c>
      <c r="E32" s="13" t="n">
        <v>17387761.2</v>
      </c>
      <c r="F32" s="14">
        <f>IFERROR(B32/B31-1,"")</f>
        <v/>
      </c>
    </row>
    <row r="33">
      <c r="A33" s="11" t="n">
        <v>45413</v>
      </c>
      <c r="B33" t="n">
        <v>2490</v>
      </c>
      <c r="C33" t="n">
        <v>864</v>
      </c>
      <c r="D33" s="12">
        <f>IFERROR(C33/B33,0)</f>
        <v/>
      </c>
      <c r="E33" s="13" t="n">
        <v>17921630.3</v>
      </c>
      <c r="F33" s="14">
        <f>IFERROR(B33/B32-1,"")</f>
        <v/>
      </c>
    </row>
    <row r="34">
      <c r="A34" s="11" t="n">
        <v>45444</v>
      </c>
      <c r="B34" t="n">
        <v>2207</v>
      </c>
      <c r="C34" t="n">
        <v>676</v>
      </c>
      <c r="D34" s="12">
        <f>IFERROR(C34/B34,0)</f>
        <v/>
      </c>
      <c r="E34" s="13" t="n">
        <v>14515629.08</v>
      </c>
      <c r="F34" s="14">
        <f>IFERROR(B34/B33-1,"")</f>
        <v/>
      </c>
    </row>
    <row r="35">
      <c r="A35" s="11" t="n">
        <v>45474</v>
      </c>
      <c r="B35" t="n">
        <v>2104</v>
      </c>
      <c r="C35" t="n">
        <v>677</v>
      </c>
      <c r="D35" s="12">
        <f>IFERROR(C35/B35,0)</f>
        <v/>
      </c>
      <c r="E35" s="13" t="n">
        <v>14001279.95</v>
      </c>
      <c r="F35" s="14">
        <f>IFERROR(B35/B34-1,"")</f>
        <v/>
      </c>
    </row>
    <row r="36">
      <c r="A36" s="11" t="n">
        <v>45505</v>
      </c>
      <c r="B36" t="n">
        <v>2255</v>
      </c>
      <c r="C36" t="n">
        <v>719</v>
      </c>
      <c r="D36" s="12">
        <f>IFERROR(C36/B36,0)</f>
        <v/>
      </c>
      <c r="E36" s="13" t="n">
        <v>16466970.68</v>
      </c>
      <c r="F36" s="14">
        <f>IFERROR(B36/B35-1,"")</f>
        <v/>
      </c>
    </row>
    <row r="37">
      <c r="A37" s="11" t="n">
        <v>45536</v>
      </c>
      <c r="B37" t="n">
        <v>2398</v>
      </c>
      <c r="C37" t="n">
        <v>802</v>
      </c>
      <c r="D37" s="12">
        <f>IFERROR(C37/B37,0)</f>
        <v/>
      </c>
      <c r="E37" s="13" t="n">
        <v>16927897.26</v>
      </c>
      <c r="F37" s="14">
        <f>IFERROR(B37/B36-1,"")</f>
        <v/>
      </c>
    </row>
    <row r="38">
      <c r="A38" s="11" t="n">
        <v>45566</v>
      </c>
      <c r="B38" t="n">
        <v>2469</v>
      </c>
      <c r="C38" t="n">
        <v>844</v>
      </c>
      <c r="D38" s="12">
        <f>IFERROR(C38/B38,0)</f>
        <v/>
      </c>
      <c r="E38" s="13" t="n">
        <v>17697484.11</v>
      </c>
      <c r="F38" s="14">
        <f>IFERROR(B38/B37-1,"")</f>
        <v/>
      </c>
    </row>
    <row r="39">
      <c r="A39" s="11" t="n">
        <v>45597</v>
      </c>
      <c r="B39" t="n">
        <v>2020</v>
      </c>
      <c r="C39" t="n">
        <v>640</v>
      </c>
      <c r="D39" s="12">
        <f>IFERROR(C39/B39,0)</f>
        <v/>
      </c>
      <c r="E39" s="13" t="n">
        <v>14029172.19</v>
      </c>
      <c r="F39" s="14">
        <f>IFERROR(B39/B38-1,"")</f>
        <v/>
      </c>
    </row>
    <row r="40">
      <c r="A40" s="11" t="n">
        <v>45627</v>
      </c>
      <c r="B40" t="n">
        <v>1736</v>
      </c>
      <c r="C40" t="n">
        <v>568</v>
      </c>
      <c r="D40" s="12">
        <f>IFERROR(C40/B40,0)</f>
        <v/>
      </c>
      <c r="E40" s="13" t="n">
        <v>11259592.95</v>
      </c>
      <c r="F40" s="14">
        <f>IFERROR(B40/B39-1,"")</f>
        <v/>
      </c>
    </row>
    <row r="41">
      <c r="A41" s="11" t="n">
        <v>45658</v>
      </c>
      <c r="B41" t="n">
        <v>2139</v>
      </c>
      <c r="C41" t="n">
        <v>699</v>
      </c>
      <c r="D41" s="12">
        <f>IFERROR(C41/B41,0)</f>
        <v/>
      </c>
      <c r="E41" s="13" t="n">
        <v>15067073.62</v>
      </c>
      <c r="F41" s="14">
        <f>IFERROR(B41/B40-1,"")</f>
        <v/>
      </c>
    </row>
    <row r="42">
      <c r="A42" s="11" t="n">
        <v>45689</v>
      </c>
      <c r="B42" t="n">
        <v>1985</v>
      </c>
      <c r="C42" t="n">
        <v>630</v>
      </c>
      <c r="D42" s="12">
        <f>IFERROR(C42/B42,0)</f>
        <v/>
      </c>
      <c r="E42" s="13" t="n">
        <v>13769992.71</v>
      </c>
      <c r="F42" s="14">
        <f>IFERROR(B42/B41-1,"")</f>
        <v/>
      </c>
    </row>
    <row r="43">
      <c r="A43" s="11" t="n">
        <v>45717</v>
      </c>
      <c r="B43" t="n">
        <v>2653</v>
      </c>
      <c r="C43" t="n">
        <v>907</v>
      </c>
      <c r="D43" s="12">
        <f>IFERROR(C43/B43,0)</f>
        <v/>
      </c>
      <c r="E43" s="13" t="n">
        <v>19120424.13</v>
      </c>
      <c r="F43" s="14">
        <f>IFERROR(B43/B42-1,"")</f>
        <v/>
      </c>
    </row>
    <row r="44">
      <c r="A44" s="11" t="n">
        <v>45748</v>
      </c>
      <c r="B44" t="n">
        <v>2691</v>
      </c>
      <c r="C44" t="n">
        <v>854</v>
      </c>
      <c r="D44" s="12">
        <f>IFERROR(C44/B44,0)</f>
        <v/>
      </c>
      <c r="E44" s="13" t="n">
        <v>17674380.76</v>
      </c>
      <c r="F44" s="14">
        <f>IFERROR(B44/B43-1,"")</f>
        <v/>
      </c>
    </row>
    <row r="45">
      <c r="A45" s="11" t="n">
        <v>45778</v>
      </c>
      <c r="B45" t="n">
        <v>2601</v>
      </c>
      <c r="C45" t="n">
        <v>885</v>
      </c>
      <c r="D45" s="12">
        <f>IFERROR(C45/B45,0)</f>
        <v/>
      </c>
      <c r="E45" s="13" t="n">
        <v>19308383.39</v>
      </c>
      <c r="F45" s="14">
        <f>IFERROR(B45/B44-1,"")</f>
        <v/>
      </c>
    </row>
    <row r="46">
      <c r="A46" s="11" t="n">
        <v>45809</v>
      </c>
      <c r="B46" t="n">
        <v>2445</v>
      </c>
      <c r="C46" t="n">
        <v>765</v>
      </c>
      <c r="D46" s="12">
        <f>IFERROR(C46/B46,0)</f>
        <v/>
      </c>
      <c r="E46" s="13" t="n">
        <v>15557927.55</v>
      </c>
      <c r="F46" s="14">
        <f>IFERROR(B46/B45-1,"")</f>
        <v/>
      </c>
    </row>
    <row r="47">
      <c r="A47" s="11" t="n">
        <v>45839</v>
      </c>
      <c r="B47" t="n">
        <v>2258</v>
      </c>
      <c r="C47" t="n">
        <v>676</v>
      </c>
      <c r="D47" s="12">
        <f>IFERROR(C47/B47,0)</f>
        <v/>
      </c>
      <c r="E47" s="13" t="n">
        <v>14373613.98</v>
      </c>
      <c r="F47" s="14">
        <f>IFERROR(B47/B46-1,"")</f>
        <v/>
      </c>
    </row>
    <row r="48">
      <c r="A48" s="11" t="n">
        <v>45870</v>
      </c>
      <c r="B48" t="n">
        <v>2375</v>
      </c>
      <c r="C48" t="n">
        <v>730</v>
      </c>
      <c r="D48" s="12">
        <f>IFERROR(C48/B48,0)</f>
        <v/>
      </c>
      <c r="E48" s="13" t="n">
        <v>15677829.48</v>
      </c>
      <c r="F48" s="14">
        <f>IFERROR(B48/B47-1,"")</f>
        <v/>
      </c>
    </row>
    <row r="49">
      <c r="A49" s="11" t="n">
        <v>45901</v>
      </c>
      <c r="B49" t="n">
        <v>2565</v>
      </c>
      <c r="C49" t="n">
        <v>896</v>
      </c>
      <c r="D49" s="12">
        <f>IFERROR(C49/B49,0)</f>
        <v/>
      </c>
      <c r="E49" s="13" t="n">
        <v>19443366.55</v>
      </c>
      <c r="F49" s="14">
        <f>IFERROR(B49/B48-1,"")</f>
        <v/>
      </c>
    </row>
    <row r="50">
      <c r="A50" s="11" t="n">
        <v>45931</v>
      </c>
      <c r="B50" t="n">
        <v>2678</v>
      </c>
      <c r="C50" t="n">
        <v>896</v>
      </c>
      <c r="D50" s="12">
        <f>IFERROR(C50/B50,0)</f>
        <v/>
      </c>
      <c r="E50" s="13" t="n">
        <v>19084836.61</v>
      </c>
      <c r="F50" s="14">
        <f>IFERROR(B50/B49-1,"")</f>
        <v/>
      </c>
    </row>
    <row r="51">
      <c r="A51" s="11" t="n">
        <v>45962</v>
      </c>
      <c r="B51" t="n">
        <v>2293</v>
      </c>
      <c r="C51" t="n">
        <v>686</v>
      </c>
      <c r="D51" s="12">
        <f>IFERROR(C51/B51,0)</f>
        <v/>
      </c>
      <c r="E51" s="13" t="n">
        <v>14648742.52</v>
      </c>
      <c r="F51" s="14">
        <f>IFERROR(B51/B50-1,"")</f>
        <v/>
      </c>
    </row>
    <row r="52">
      <c r="A52" s="11" t="n">
        <v>45992</v>
      </c>
      <c r="B52" t="n">
        <v>1653</v>
      </c>
      <c r="C52" t="n">
        <v>526</v>
      </c>
      <c r="D52" s="12">
        <f>IFERROR(C52/B52,0)</f>
        <v/>
      </c>
      <c r="E52" s="13" t="n">
        <v>11220370.06</v>
      </c>
      <c r="F52" s="14">
        <f>IFERROR(B52/B51-1,"")</f>
        <v/>
      </c>
    </row>
  </sheetData>
  <mergeCells count="2">
    <mergeCell ref="A2:H2"/>
    <mergeCell ref="A1:H1"/>
  </mergeCells>
  <conditionalFormatting sqref="D5:D5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3" customWidth="1" min="3" max="3"/>
    <col width="16" customWidth="1" min="4" max="4"/>
    <col width="19" customWidth="1" min="5" max="5"/>
    <col width="27" customWidth="1" min="6" max="6"/>
    <col width="18" customWidth="1" min="7" max="7"/>
    <col width="17" customWidth="1" min="8" max="8"/>
  </cols>
  <sheetData>
    <row r="1" ht="34" customHeight="1">
      <c r="A1" s="1" t="inlineStr">
        <is>
          <t>Lead Source</t>
        </is>
      </c>
    </row>
    <row r="2">
      <c r="A2" s="2" t="inlineStr">
        <is>
          <t>Volume, conversion, value, and response trade-offs</t>
        </is>
      </c>
    </row>
    <row r="4">
      <c r="A4" s="8" t="inlineStr">
        <is>
          <t>Lead Source</t>
        </is>
      </c>
      <c r="B4" s="8" t="inlineStr">
        <is>
          <t>Inquiries</t>
        </is>
      </c>
      <c r="C4" s="8" t="inlineStr">
        <is>
          <t>Conversions</t>
        </is>
      </c>
      <c r="D4" s="8" t="inlineStr">
        <is>
          <t>Conversion Rate</t>
        </is>
      </c>
      <c r="E4" s="8" t="inlineStr">
        <is>
          <t>Average Sale Value</t>
        </is>
      </c>
      <c r="F4" s="8" t="inlineStr">
        <is>
          <t>Average Fastest Response (h)</t>
        </is>
      </c>
      <c r="G4" s="8" t="inlineStr">
        <is>
          <t>Portfolio Lift (pp)</t>
        </is>
      </c>
      <c r="H4" s="8" t="inlineStr">
        <is>
          <t>Conversion Rank</t>
        </is>
      </c>
    </row>
    <row r="5">
      <c r="A5" t="inlineStr">
        <is>
          <t>Dealer Referral</t>
        </is>
      </c>
      <c r="B5" t="n">
        <v>16191</v>
      </c>
      <c r="C5" t="n">
        <v>6222</v>
      </c>
      <c r="D5" s="12">
        <f>IFERROR(C5/B5,0)</f>
        <v/>
      </c>
      <c r="E5" s="15" t="n">
        <v>21386.8308325297</v>
      </c>
      <c r="F5" s="16" t="n">
        <v>5.8804706318</v>
      </c>
      <c r="G5" s="17">
        <f>(D5-(SUM(C5:C10)/SUM(B5:B10)))*100</f>
        <v/>
      </c>
      <c r="H5">
        <f>RANK.EQ(D5,$D$5:$D$10,0)</f>
        <v/>
      </c>
    </row>
    <row r="6">
      <c r="A6" t="inlineStr">
        <is>
          <t>Partner</t>
        </is>
      </c>
      <c r="B6" t="n">
        <v>7995</v>
      </c>
      <c r="C6" t="n">
        <v>2841</v>
      </c>
      <c r="D6" s="12">
        <f>IFERROR(C6/B6,0)</f>
        <v/>
      </c>
      <c r="E6" s="15" t="n">
        <v>21234.3352129532</v>
      </c>
      <c r="F6" s="16" t="n">
        <v>5.8639624765</v>
      </c>
      <c r="G6" s="17">
        <f>(D6-(SUM(C5:C10)/SUM(B5:B10)))*100</f>
        <v/>
      </c>
      <c r="H6">
        <f>RANK.EQ(D6,$D$5:$D$10,0)</f>
        <v/>
      </c>
    </row>
    <row r="7">
      <c r="A7" t="inlineStr">
        <is>
          <t>Direct</t>
        </is>
      </c>
      <c r="B7" t="n">
        <v>18171</v>
      </c>
      <c r="C7" t="n">
        <v>6189</v>
      </c>
      <c r="D7" s="12">
        <f>IFERROR(C7/B7,0)</f>
        <v/>
      </c>
      <c r="E7" s="15" t="n">
        <v>21209.4548731621</v>
      </c>
      <c r="F7" s="16" t="n">
        <v>5.8892069782</v>
      </c>
      <c r="G7" s="17">
        <f>(D7-(SUM(C5:C10)/SUM(B5:B10)))*100</f>
        <v/>
      </c>
      <c r="H7">
        <f>RANK.EQ(D7,$D$5:$D$10,0)</f>
        <v/>
      </c>
    </row>
    <row r="8">
      <c r="A8" t="inlineStr">
        <is>
          <t>Organic Search</t>
        </is>
      </c>
      <c r="B8" t="n">
        <v>26790</v>
      </c>
      <c r="C8" t="n">
        <v>8765</v>
      </c>
      <c r="D8" s="12">
        <f>IFERROR(C8/B8,0)</f>
        <v/>
      </c>
      <c r="E8" s="15" t="n">
        <v>21469.1700513406</v>
      </c>
      <c r="F8" s="16" t="n">
        <v>5.8677849944</v>
      </c>
      <c r="G8" s="17">
        <f>(D8-(SUM(C5:C10)/SUM(B5:B10)))*100</f>
        <v/>
      </c>
      <c r="H8">
        <f>RANK.EQ(D8,$D$5:$D$10,0)</f>
        <v/>
      </c>
    </row>
    <row r="9">
      <c r="A9" t="inlineStr">
        <is>
          <t>Paid Search</t>
        </is>
      </c>
      <c r="B9" t="n">
        <v>19110</v>
      </c>
      <c r="C9" t="n">
        <v>5349</v>
      </c>
      <c r="D9" s="12">
        <f>IFERROR(C9/B9,0)</f>
        <v/>
      </c>
      <c r="E9" s="15" t="n">
        <v>21621.3974088615</v>
      </c>
      <c r="F9" s="16" t="n">
        <v>5.8586232339</v>
      </c>
      <c r="G9" s="17">
        <f>(D9-(SUM(C5:C10)/SUM(B5:B10)))*100</f>
        <v/>
      </c>
      <c r="H9">
        <f>RANK.EQ(D9,$D$5:$D$10,0)</f>
        <v/>
      </c>
    </row>
    <row r="10">
      <c r="A10" t="inlineStr">
        <is>
          <t>Social Media</t>
        </is>
      </c>
      <c r="B10" t="n">
        <v>11556</v>
      </c>
      <c r="C10" t="n">
        <v>3098</v>
      </c>
      <c r="D10" s="12">
        <f>IFERROR(C10/B10,0)</f>
        <v/>
      </c>
      <c r="E10" s="15" t="n">
        <v>21496.1008521627</v>
      </c>
      <c r="F10" s="16" t="n">
        <v>5.8237538941</v>
      </c>
      <c r="G10" s="17">
        <f>(D10-(SUM(C5:C10)/SUM(B5:B10)))*100</f>
        <v/>
      </c>
      <c r="H10">
        <f>RANK.EQ(D10,$D$5:$D$10,0)</f>
        <v/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22" customWidth="1" min="3" max="3"/>
    <col width="11" customWidth="1" min="4" max="4"/>
    <col width="10" customWidth="1" min="5" max="5"/>
    <col width="12" customWidth="1" min="6" max="6"/>
    <col width="21" customWidth="1" min="7" max="7"/>
    <col width="22" customWidth="1" min="8" max="8"/>
    <col width="17" customWidth="1" min="9" max="9"/>
    <col width="11" customWidth="1" min="10" max="10"/>
    <col width="14" customWidth="1" min="11" max="11"/>
  </cols>
  <sheetData>
    <row r="1" ht="34" customHeight="1">
      <c r="A1" s="1" t="inlineStr">
        <is>
          <t>Dealer Performance</t>
        </is>
      </c>
    </row>
    <row r="2">
      <c r="A2" s="2" t="inlineStr">
        <is>
          <t>Dealer quote grain; rank is volume-guarded at 250 quotes</t>
        </is>
      </c>
    </row>
    <row r="4">
      <c r="A4" s="8" t="inlineStr">
        <is>
          <t>Dealer ID</t>
        </is>
      </c>
      <c r="B4" s="8" t="inlineStr">
        <is>
          <t>Dealer</t>
        </is>
      </c>
      <c r="C4" s="8" t="inlineStr">
        <is>
          <t>Region</t>
        </is>
      </c>
      <c r="D4" s="8" t="inlineStr">
        <is>
          <t>Quotes</t>
        </is>
      </c>
      <c r="E4" s="8" t="inlineStr">
        <is>
          <t>Wins</t>
        </is>
      </c>
      <c r="F4" s="8" t="inlineStr">
        <is>
          <t>Win Rate</t>
        </is>
      </c>
      <c r="G4" s="8" t="inlineStr">
        <is>
          <t>Average Response (h)</t>
        </is>
      </c>
      <c r="H4" s="8" t="inlineStr">
        <is>
          <t>Average Quote / Market</t>
        </is>
      </c>
      <c r="I4" s="8" t="inlineStr">
        <is>
          <t>Accepted Value</t>
        </is>
      </c>
      <c r="J4" s="8" t="inlineStr">
        <is>
          <t>Eligible</t>
        </is>
      </c>
      <c r="K4" s="8" t="inlineStr">
        <is>
          <t>Eligible Rank</t>
        </is>
      </c>
    </row>
    <row r="5">
      <c r="A5" t="inlineStr">
        <is>
          <t>D0111</t>
        </is>
      </c>
      <c r="B5" t="inlineStr">
        <is>
          <t>Ticino Autohaus 111</t>
        </is>
      </c>
      <c r="C5" t="inlineStr">
        <is>
          <t>Ticino</t>
        </is>
      </c>
      <c r="D5" t="n">
        <v>2296</v>
      </c>
      <c r="E5" t="n">
        <v>729</v>
      </c>
      <c r="F5" s="12">
        <f>IFERROR(E5/D5,0)</f>
        <v/>
      </c>
      <c r="G5" s="16" t="n">
        <v>6.1713196864</v>
      </c>
      <c r="H5" s="12" t="n">
        <v>0.9828251307</v>
      </c>
      <c r="I5" s="15" t="n">
        <v>16920934.49</v>
      </c>
      <c r="J5">
        <f>IF(D5&gt;=250,"Yes","No")</f>
        <v/>
      </c>
      <c r="K5">
        <f>IF(J5="Yes",RANK.EQ(F5,$F$5:$F$154,0),NA())</f>
        <v/>
      </c>
    </row>
    <row r="6">
      <c r="A6" t="inlineStr">
        <is>
          <t>D0062</t>
        </is>
      </c>
      <c r="B6" t="inlineStr">
        <is>
          <t>Central Autohaus 062</t>
        </is>
      </c>
      <c r="C6" t="inlineStr">
        <is>
          <t>Central Switzerland</t>
        </is>
      </c>
      <c r="D6" t="n">
        <v>2273</v>
      </c>
      <c r="E6" t="n">
        <v>668</v>
      </c>
      <c r="F6" s="12">
        <f>IFERROR(E6/D6,0)</f>
        <v/>
      </c>
      <c r="G6" s="16" t="n">
        <v>13.8212318522</v>
      </c>
      <c r="H6" s="12" t="n">
        <v>1.0000485262</v>
      </c>
      <c r="I6" s="15" t="n">
        <v>16096932.09</v>
      </c>
      <c r="J6">
        <f>IF(D6&gt;=250,"Yes","No")</f>
        <v/>
      </c>
      <c r="K6">
        <f>IF(J6="Yes",RANK.EQ(F6,$F$5:$F$154,0),NA())</f>
        <v/>
      </c>
    </row>
    <row r="7">
      <c r="A7" t="inlineStr">
        <is>
          <t>D0040</t>
        </is>
      </c>
      <c r="B7" t="inlineStr">
        <is>
          <t>Eastern Autohaus 040</t>
        </is>
      </c>
      <c r="C7" t="inlineStr">
        <is>
          <t>Eastern Switzerland</t>
        </is>
      </c>
      <c r="D7" t="n">
        <v>2302</v>
      </c>
      <c r="E7" t="n">
        <v>601</v>
      </c>
      <c r="F7" s="12">
        <f>IFERROR(E7/D7,0)</f>
        <v/>
      </c>
      <c r="G7" s="16" t="n">
        <v>6.7536142485</v>
      </c>
      <c r="H7" s="12" t="n">
        <v>0.9766660295</v>
      </c>
      <c r="I7" s="15" t="n">
        <v>13407529.87</v>
      </c>
      <c r="J7">
        <f>IF(D7&gt;=250,"Yes","No")</f>
        <v/>
      </c>
      <c r="K7">
        <f>IF(J7="Yes",RANK.EQ(F7,$F$5:$F$154,0),NA())</f>
        <v/>
      </c>
    </row>
    <row r="8">
      <c r="A8" t="inlineStr">
        <is>
          <t>D0090</t>
        </is>
      </c>
      <c r="B8" t="inlineStr">
        <is>
          <t>Eastern Autohaus 090</t>
        </is>
      </c>
      <c r="C8" t="inlineStr">
        <is>
          <t>Eastern Switzerland</t>
        </is>
      </c>
      <c r="D8" t="n">
        <v>2294</v>
      </c>
      <c r="E8" t="n">
        <v>557</v>
      </c>
      <c r="F8" s="12">
        <f>IFERROR(E8/D8,0)</f>
        <v/>
      </c>
      <c r="G8" s="16" t="n">
        <v>7.6437837838</v>
      </c>
      <c r="H8" s="12" t="n">
        <v>0.9823735833</v>
      </c>
      <c r="I8" s="15" t="n">
        <v>13746088.73</v>
      </c>
      <c r="J8">
        <f>IF(D8&gt;=250,"Yes","No")</f>
        <v/>
      </c>
      <c r="K8">
        <f>IF(J8="Yes",RANK.EQ(F8,$F$5:$F$154,0),NA())</f>
        <v/>
      </c>
    </row>
    <row r="9">
      <c r="A9" t="inlineStr">
        <is>
          <t>D0085</t>
        </is>
      </c>
      <c r="B9" t="inlineStr">
        <is>
          <t>Ticino Autohaus 085</t>
        </is>
      </c>
      <c r="C9" t="inlineStr">
        <is>
          <t>Ticino</t>
        </is>
      </c>
      <c r="D9" t="n">
        <v>2254</v>
      </c>
      <c r="E9" t="n">
        <v>541</v>
      </c>
      <c r="F9" s="12">
        <f>IFERROR(E9/D9,0)</f>
        <v/>
      </c>
      <c r="G9" s="16" t="n">
        <v>9.1401020408</v>
      </c>
      <c r="H9" s="12" t="n">
        <v>0.9829455191000001</v>
      </c>
      <c r="I9" s="15" t="n">
        <v>12733535.61</v>
      </c>
      <c r="J9">
        <f>IF(D9&gt;=250,"Yes","No")</f>
        <v/>
      </c>
      <c r="K9">
        <f>IF(J9="Yes",RANK.EQ(F9,$F$5:$F$154,0),NA())</f>
        <v/>
      </c>
    </row>
    <row r="10">
      <c r="A10" t="inlineStr">
        <is>
          <t>D0126</t>
        </is>
      </c>
      <c r="B10" t="inlineStr">
        <is>
          <t>Eastern Autohaus 126</t>
        </is>
      </c>
      <c r="C10" t="inlineStr">
        <is>
          <t>Eastern Switzerland</t>
        </is>
      </c>
      <c r="D10" t="n">
        <v>2289</v>
      </c>
      <c r="E10" t="n">
        <v>536</v>
      </c>
      <c r="F10" s="12">
        <f>IFERROR(E10/D10,0)</f>
        <v/>
      </c>
      <c r="G10" s="16" t="n">
        <v>14.7515377894</v>
      </c>
      <c r="H10" s="12" t="n">
        <v>0.9659798165</v>
      </c>
      <c r="I10" s="15" t="n">
        <v>11959639.47</v>
      </c>
      <c r="J10">
        <f>IF(D10&gt;=250,"Yes","No")</f>
        <v/>
      </c>
      <c r="K10">
        <f>IF(J10="Yes",RANK.EQ(F10,$F$5:$F$154,0),NA())</f>
        <v/>
      </c>
    </row>
    <row r="11">
      <c r="A11" t="inlineStr">
        <is>
          <t>D0134</t>
        </is>
      </c>
      <c r="B11" t="inlineStr">
        <is>
          <t>Eastern Autohaus 134</t>
        </is>
      </c>
      <c r="C11" t="inlineStr">
        <is>
          <t>Eastern Switzerland</t>
        </is>
      </c>
      <c r="D11" t="n">
        <v>2321</v>
      </c>
      <c r="E11" t="n">
        <v>485</v>
      </c>
      <c r="F11" s="12">
        <f>IFERROR(E11/D11,0)</f>
        <v/>
      </c>
      <c r="G11" s="16" t="n">
        <v>17.1606376562</v>
      </c>
      <c r="H11" s="12" t="n">
        <v>0.9720236536</v>
      </c>
      <c r="I11" s="15" t="n">
        <v>10871572.98</v>
      </c>
      <c r="J11">
        <f>IF(D11&gt;=250,"Yes","No")</f>
        <v/>
      </c>
      <c r="K11">
        <f>IF(J11="Yes",RANK.EQ(F11,$F$5:$F$154,0),NA())</f>
        <v/>
      </c>
    </row>
    <row r="12">
      <c r="A12" t="inlineStr">
        <is>
          <t>D0076</t>
        </is>
      </c>
      <c r="B12" t="inlineStr">
        <is>
          <t>Lake Autohaus 076</t>
        </is>
      </c>
      <c r="C12" t="inlineStr">
        <is>
          <t>Lake Geneva</t>
        </is>
      </c>
      <c r="D12" t="n">
        <v>2223</v>
      </c>
      <c r="E12" t="n">
        <v>463</v>
      </c>
      <c r="F12" s="12">
        <f>IFERROR(E12/D12,0)</f>
        <v/>
      </c>
      <c r="G12" s="16" t="n">
        <v>11.0059919028</v>
      </c>
      <c r="H12" s="12" t="n">
        <v>0.9727805218</v>
      </c>
      <c r="I12" s="15" t="n">
        <v>11445092.82</v>
      </c>
      <c r="J12">
        <f>IF(D12&gt;=250,"Yes","No")</f>
        <v/>
      </c>
      <c r="K12">
        <f>IF(J12="Yes",RANK.EQ(F12,$F$5:$F$154,0),NA())</f>
        <v/>
      </c>
    </row>
    <row r="13">
      <c r="A13" t="inlineStr">
        <is>
          <t>D0146</t>
        </is>
      </c>
      <c r="B13" t="inlineStr">
        <is>
          <t>Lake Autohaus 146</t>
        </is>
      </c>
      <c r="C13" t="inlineStr">
        <is>
          <t>Lake Geneva</t>
        </is>
      </c>
      <c r="D13" t="n">
        <v>2240</v>
      </c>
      <c r="E13" t="n">
        <v>449</v>
      </c>
      <c r="F13" s="12">
        <f>IFERROR(E13/D13,0)</f>
        <v/>
      </c>
      <c r="G13" s="16" t="n">
        <v>9.0763883929</v>
      </c>
      <c r="H13" s="12" t="n">
        <v>0.9543910268</v>
      </c>
      <c r="I13" s="15" t="n">
        <v>10522881.54</v>
      </c>
      <c r="J13">
        <f>IF(D13&gt;=250,"Yes","No")</f>
        <v/>
      </c>
      <c r="K13">
        <f>IF(J13="Yes",RANK.EQ(F13,$F$5:$F$154,0),NA())</f>
        <v/>
      </c>
    </row>
    <row r="14">
      <c r="A14" t="inlineStr">
        <is>
          <t>D0108</t>
        </is>
      </c>
      <c r="B14" t="inlineStr">
        <is>
          <t>Lake Autohaus 108</t>
        </is>
      </c>
      <c r="C14" t="inlineStr">
        <is>
          <t>Lake Geneva</t>
        </is>
      </c>
      <c r="D14" t="n">
        <v>2206</v>
      </c>
      <c r="E14" t="n">
        <v>427</v>
      </c>
      <c r="F14" s="12">
        <f>IFERROR(E14/D14,0)</f>
        <v/>
      </c>
      <c r="G14" s="16" t="n">
        <v>11.9720852221</v>
      </c>
      <c r="H14" s="12" t="n">
        <v>0.9448351768</v>
      </c>
      <c r="I14" s="15" t="n">
        <v>9978233.76</v>
      </c>
      <c r="J14">
        <f>IF(D14&gt;=250,"Yes","No")</f>
        <v/>
      </c>
      <c r="K14">
        <f>IF(J14="Yes",RANK.EQ(F14,$F$5:$F$154,0),NA())</f>
        <v/>
      </c>
    </row>
    <row r="15">
      <c r="A15" t="inlineStr">
        <is>
          <t>D0035</t>
        </is>
      </c>
      <c r="B15" t="inlineStr">
        <is>
          <t>Northwestern Autohaus 035</t>
        </is>
      </c>
      <c r="C15" t="inlineStr">
        <is>
          <t>Northwestern Switzerland</t>
        </is>
      </c>
      <c r="D15" t="n">
        <v>2295</v>
      </c>
      <c r="E15" t="n">
        <v>444</v>
      </c>
      <c r="F15" s="12">
        <f>IFERROR(E15/D15,0)</f>
        <v/>
      </c>
      <c r="G15" s="16" t="n">
        <v>10.9135686275</v>
      </c>
      <c r="H15" s="12" t="n">
        <v>0.9431328976</v>
      </c>
      <c r="I15" s="15" t="n">
        <v>9958873.75</v>
      </c>
      <c r="J15">
        <f>IF(D15&gt;=250,"Yes","No")</f>
        <v/>
      </c>
      <c r="K15">
        <f>IF(J15="Yes",RANK.EQ(F15,$F$5:$F$154,0),NA())</f>
        <v/>
      </c>
    </row>
    <row r="16">
      <c r="A16" t="inlineStr">
        <is>
          <t>D0094</t>
        </is>
      </c>
      <c r="B16" t="inlineStr">
        <is>
          <t>Ticino Autohaus 094</t>
        </is>
      </c>
      <c r="C16" t="inlineStr">
        <is>
          <t>Ticino</t>
        </is>
      </c>
      <c r="D16" t="n">
        <v>2234</v>
      </c>
      <c r="E16" t="n">
        <v>429</v>
      </c>
      <c r="F16" s="12">
        <f>IFERROR(E16/D16,0)</f>
        <v/>
      </c>
      <c r="G16" s="16" t="n">
        <v>13.8255461056</v>
      </c>
      <c r="H16" s="12" t="n">
        <v>0.9551722471</v>
      </c>
      <c r="I16" s="15" t="n">
        <v>9806692.41</v>
      </c>
      <c r="J16">
        <f>IF(D16&gt;=250,"Yes","No")</f>
        <v/>
      </c>
      <c r="K16">
        <f>IF(J16="Yes",RANK.EQ(F16,$F$5:$F$154,0),NA())</f>
        <v/>
      </c>
    </row>
    <row r="17">
      <c r="A17" t="inlineStr">
        <is>
          <t>D0020</t>
        </is>
      </c>
      <c r="B17" t="inlineStr">
        <is>
          <t>Lake Autohaus 020</t>
        </is>
      </c>
      <c r="C17" t="inlineStr">
        <is>
          <t>Lake Geneva</t>
        </is>
      </c>
      <c r="D17" t="n">
        <v>2231</v>
      </c>
      <c r="E17" t="n">
        <v>421</v>
      </c>
      <c r="F17" s="12">
        <f>IFERROR(E17/D17,0)</f>
        <v/>
      </c>
      <c r="G17" s="16" t="n">
        <v>13.2241237113</v>
      </c>
      <c r="H17" s="12" t="n">
        <v>0.9493454505</v>
      </c>
      <c r="I17" s="15" t="n">
        <v>9934946.640000001</v>
      </c>
      <c r="J17">
        <f>IF(D17&gt;=250,"Yes","No")</f>
        <v/>
      </c>
      <c r="K17">
        <f>IF(J17="Yes",RANK.EQ(F17,$F$5:$F$154,0),NA())</f>
        <v/>
      </c>
    </row>
    <row r="18">
      <c r="A18" t="inlineStr">
        <is>
          <t>D0050</t>
        </is>
      </c>
      <c r="B18" t="inlineStr">
        <is>
          <t>Ticino Autohaus 050</t>
        </is>
      </c>
      <c r="C18" t="inlineStr">
        <is>
          <t>Ticino</t>
        </is>
      </c>
      <c r="D18" t="n">
        <v>2251</v>
      </c>
      <c r="E18" t="n">
        <v>415</v>
      </c>
      <c r="F18" s="12">
        <f>IFERROR(E18/D18,0)</f>
        <v/>
      </c>
      <c r="G18" s="16" t="n">
        <v>13.548289649</v>
      </c>
      <c r="H18" s="12" t="n">
        <v>0.9421562861</v>
      </c>
      <c r="I18" s="15" t="n">
        <v>10139617.06</v>
      </c>
      <c r="J18">
        <f>IF(D18&gt;=250,"Yes","No")</f>
        <v/>
      </c>
      <c r="K18">
        <f>IF(J18="Yes",RANK.EQ(F18,$F$5:$F$154,0),NA())</f>
        <v/>
      </c>
    </row>
    <row r="19">
      <c r="A19" t="inlineStr">
        <is>
          <t>D0041</t>
        </is>
      </c>
      <c r="B19" t="inlineStr">
        <is>
          <t>Ticino Autohaus 041</t>
        </is>
      </c>
      <c r="C19" t="inlineStr">
        <is>
          <t>Ticino</t>
        </is>
      </c>
      <c r="D19" t="n">
        <v>2237</v>
      </c>
      <c r="E19" t="n">
        <v>406</v>
      </c>
      <c r="F19" s="12">
        <f>IFERROR(E19/D19,0)</f>
        <v/>
      </c>
      <c r="G19" s="16" t="n">
        <v>16.721721055</v>
      </c>
      <c r="H19" s="12" t="n">
        <v>0.9588800179</v>
      </c>
      <c r="I19" s="15" t="n">
        <v>9326440.02</v>
      </c>
      <c r="J19">
        <f>IF(D19&gt;=250,"Yes","No")</f>
        <v/>
      </c>
      <c r="K19">
        <f>IF(J19="Yes",RANK.EQ(F19,$F$5:$F$154,0),NA())</f>
        <v/>
      </c>
    </row>
    <row r="20">
      <c r="A20" t="inlineStr">
        <is>
          <t>D0101</t>
        </is>
      </c>
      <c r="B20" t="inlineStr">
        <is>
          <t>Central Autohaus 101</t>
        </is>
      </c>
      <c r="C20" t="inlineStr">
        <is>
          <t>Central Switzerland</t>
        </is>
      </c>
      <c r="D20" t="n">
        <v>2321</v>
      </c>
      <c r="E20" t="n">
        <v>421</v>
      </c>
      <c r="F20" s="12">
        <f>IFERROR(E20/D20,0)</f>
        <v/>
      </c>
      <c r="G20" s="16" t="n">
        <v>12.560689358</v>
      </c>
      <c r="H20" s="12" t="n">
        <v>0.9394697113</v>
      </c>
      <c r="I20" s="15" t="n">
        <v>9688130.960000001</v>
      </c>
      <c r="J20">
        <f>IF(D20&gt;=250,"Yes","No")</f>
        <v/>
      </c>
      <c r="K20">
        <f>IF(J20="Yes",RANK.EQ(F20,$F$5:$F$154,0),NA())</f>
        <v/>
      </c>
    </row>
    <row r="21">
      <c r="A21" t="inlineStr">
        <is>
          <t>D0122</t>
        </is>
      </c>
      <c r="B21" t="inlineStr">
        <is>
          <t>Lake Autohaus 122</t>
        </is>
      </c>
      <c r="C21" t="inlineStr">
        <is>
          <t>Lake Geneva</t>
        </is>
      </c>
      <c r="D21" t="n">
        <v>2287</v>
      </c>
      <c r="E21" t="n">
        <v>414</v>
      </c>
      <c r="F21" s="12">
        <f>IFERROR(E21/D21,0)</f>
        <v/>
      </c>
      <c r="G21" s="16" t="n">
        <v>11.15919108</v>
      </c>
      <c r="H21" s="12" t="n">
        <v>0.9531946218</v>
      </c>
      <c r="I21" s="15" t="n">
        <v>9709828</v>
      </c>
      <c r="J21">
        <f>IF(D21&gt;=250,"Yes","No")</f>
        <v/>
      </c>
      <c r="K21">
        <f>IF(J21="Yes",RANK.EQ(F21,$F$5:$F$154,0),NA())</f>
        <v/>
      </c>
    </row>
    <row r="22">
      <c r="A22" t="inlineStr">
        <is>
          <t>D0012</t>
        </is>
      </c>
      <c r="B22" t="inlineStr">
        <is>
          <t>Lake Autohaus 012</t>
        </is>
      </c>
      <c r="C22" t="inlineStr">
        <is>
          <t>Lake Geneva</t>
        </is>
      </c>
      <c r="D22" t="n">
        <v>2300</v>
      </c>
      <c r="E22" t="n">
        <v>416</v>
      </c>
      <c r="F22" s="12">
        <f>IFERROR(E22/D22,0)</f>
        <v/>
      </c>
      <c r="G22" s="16" t="n">
        <v>9.1496869565</v>
      </c>
      <c r="H22" s="12" t="n">
        <v>0.9515675652</v>
      </c>
      <c r="I22" s="15" t="n">
        <v>9514112.35</v>
      </c>
      <c r="J22">
        <f>IF(D22&gt;=250,"Yes","No")</f>
        <v/>
      </c>
      <c r="K22">
        <f>IF(J22="Yes",RANK.EQ(F22,$F$5:$F$154,0),NA())</f>
        <v/>
      </c>
    </row>
    <row r="23">
      <c r="A23" t="inlineStr">
        <is>
          <t>D0120</t>
        </is>
      </c>
      <c r="B23" t="inlineStr">
        <is>
          <t>Central Autohaus 120</t>
        </is>
      </c>
      <c r="C23" t="inlineStr">
        <is>
          <t>Central Switzerland</t>
        </is>
      </c>
      <c r="D23" t="n">
        <v>2284</v>
      </c>
      <c r="E23" t="n">
        <v>395</v>
      </c>
      <c r="F23" s="12">
        <f>IFERROR(E23/D23,0)</f>
        <v/>
      </c>
      <c r="G23" s="16" t="n">
        <v>13.2355297723</v>
      </c>
      <c r="H23" s="12" t="n">
        <v>0.9537405866999999</v>
      </c>
      <c r="I23" s="15" t="n">
        <v>8850481.130000001</v>
      </c>
      <c r="J23">
        <f>IF(D23&gt;=250,"Yes","No")</f>
        <v/>
      </c>
      <c r="K23">
        <f>IF(J23="Yes",RANK.EQ(F23,$F$5:$F$154,0),NA())</f>
        <v/>
      </c>
    </row>
    <row r="24">
      <c r="A24" t="inlineStr">
        <is>
          <t>D0084</t>
        </is>
      </c>
      <c r="B24" t="inlineStr">
        <is>
          <t>Espace Autohaus 084</t>
        </is>
      </c>
      <c r="C24" t="inlineStr">
        <is>
          <t>Espace Mittelland</t>
        </is>
      </c>
      <c r="D24" t="n">
        <v>2231</v>
      </c>
      <c r="E24" t="n">
        <v>380</v>
      </c>
      <c r="F24" s="12">
        <f>IFERROR(E24/D24,0)</f>
        <v/>
      </c>
      <c r="G24" s="16" t="n">
        <v>13.8057507844</v>
      </c>
      <c r="H24" s="12" t="n">
        <v>0.955178216</v>
      </c>
      <c r="I24" s="15" t="n">
        <v>8140857.83</v>
      </c>
      <c r="J24">
        <f>IF(D24&gt;=250,"Yes","No")</f>
        <v/>
      </c>
      <c r="K24">
        <f>IF(J24="Yes",RANK.EQ(F24,$F$5:$F$154,0),NA())</f>
        <v/>
      </c>
    </row>
    <row r="25">
      <c r="A25" t="inlineStr">
        <is>
          <t>D0033</t>
        </is>
      </c>
      <c r="B25" t="inlineStr">
        <is>
          <t>Espace Autohaus 033</t>
        </is>
      </c>
      <c r="C25" t="inlineStr">
        <is>
          <t>Espace Mittelland</t>
        </is>
      </c>
      <c r="D25" t="n">
        <v>2330</v>
      </c>
      <c r="E25" t="n">
        <v>393</v>
      </c>
      <c r="F25" s="12">
        <f>IFERROR(E25/D25,0)</f>
        <v/>
      </c>
      <c r="G25" s="16" t="n">
        <v>8.1035622318</v>
      </c>
      <c r="H25" s="12" t="n">
        <v>0.9324266953</v>
      </c>
      <c r="I25" s="15" t="n">
        <v>8371713.79</v>
      </c>
      <c r="J25">
        <f>IF(D25&gt;=250,"Yes","No")</f>
        <v/>
      </c>
      <c r="K25">
        <f>IF(J25="Yes",RANK.EQ(F25,$F$5:$F$154,0),NA())</f>
        <v/>
      </c>
    </row>
    <row r="26">
      <c r="A26" t="inlineStr">
        <is>
          <t>D0147</t>
        </is>
      </c>
      <c r="B26" t="inlineStr">
        <is>
          <t>Lake Autohaus 147</t>
        </is>
      </c>
      <c r="C26" t="inlineStr">
        <is>
          <t>Lake Geneva</t>
        </is>
      </c>
      <c r="D26" t="n">
        <v>2289</v>
      </c>
      <c r="E26" t="n">
        <v>386</v>
      </c>
      <c r="F26" s="12">
        <f>IFERROR(E26/D26,0)</f>
        <v/>
      </c>
      <c r="G26" s="16" t="n">
        <v>9.020266491899999</v>
      </c>
      <c r="H26" s="12" t="n">
        <v>0.9689968544999999</v>
      </c>
      <c r="I26" s="15" t="n">
        <v>8937796.810000001</v>
      </c>
      <c r="J26">
        <f>IF(D26&gt;=250,"Yes","No")</f>
        <v/>
      </c>
      <c r="K26">
        <f>IF(J26="Yes",RANK.EQ(F26,$F$5:$F$154,0),NA())</f>
        <v/>
      </c>
    </row>
    <row r="27">
      <c r="A27" t="inlineStr">
        <is>
          <t>D0086</t>
        </is>
      </c>
      <c r="B27" t="inlineStr">
        <is>
          <t>Zurich Autohaus 086</t>
        </is>
      </c>
      <c r="C27" t="inlineStr">
        <is>
          <t>Zurich</t>
        </is>
      </c>
      <c r="D27" t="n">
        <v>2312</v>
      </c>
      <c r="E27" t="n">
        <v>387</v>
      </c>
      <c r="F27" s="12">
        <f>IFERROR(E27/D27,0)</f>
        <v/>
      </c>
      <c r="G27" s="16" t="n">
        <v>16.4035596886</v>
      </c>
      <c r="H27" s="12" t="n">
        <v>0.9677884516</v>
      </c>
      <c r="I27" s="15" t="n">
        <v>9041429.619999999</v>
      </c>
      <c r="J27">
        <f>IF(D27&gt;=250,"Yes","No")</f>
        <v/>
      </c>
      <c r="K27">
        <f>IF(J27="Yes",RANK.EQ(F27,$F$5:$F$154,0),NA())</f>
        <v/>
      </c>
    </row>
    <row r="28">
      <c r="A28" t="inlineStr">
        <is>
          <t>D0119</t>
        </is>
      </c>
      <c r="B28" t="inlineStr">
        <is>
          <t>Lake Autohaus 119</t>
        </is>
      </c>
      <c r="C28" t="inlineStr">
        <is>
          <t>Lake Geneva</t>
        </is>
      </c>
      <c r="D28" t="n">
        <v>2261</v>
      </c>
      <c r="E28" t="n">
        <v>378</v>
      </c>
      <c r="F28" s="12">
        <f>IFERROR(E28/D28,0)</f>
        <v/>
      </c>
      <c r="G28" s="16" t="n">
        <v>7.9065457762</v>
      </c>
      <c r="H28" s="12" t="n">
        <v>0.9378279522</v>
      </c>
      <c r="I28" s="15" t="n">
        <v>8373040.57</v>
      </c>
      <c r="J28">
        <f>IF(D28&gt;=250,"Yes","No")</f>
        <v/>
      </c>
      <c r="K28">
        <f>IF(J28="Yes",RANK.EQ(F28,$F$5:$F$154,0),NA())</f>
        <v/>
      </c>
    </row>
    <row r="29">
      <c r="A29" t="inlineStr">
        <is>
          <t>D0130</t>
        </is>
      </c>
      <c r="B29" t="inlineStr">
        <is>
          <t>Central Autohaus 130</t>
        </is>
      </c>
      <c r="C29" t="inlineStr">
        <is>
          <t>Central Switzerland</t>
        </is>
      </c>
      <c r="D29" t="n">
        <v>2376</v>
      </c>
      <c r="E29" t="n">
        <v>397</v>
      </c>
      <c r="F29" s="12">
        <f>IFERROR(E29/D29,0)</f>
        <v/>
      </c>
      <c r="G29" s="16" t="n">
        <v>9.1677777778</v>
      </c>
      <c r="H29" s="12" t="n">
        <v>0.9496840488</v>
      </c>
      <c r="I29" s="15" t="n">
        <v>8564260.789999999</v>
      </c>
      <c r="J29">
        <f>IF(D29&gt;=250,"Yes","No")</f>
        <v/>
      </c>
      <c r="K29">
        <f>IF(J29="Yes",RANK.EQ(F29,$F$5:$F$154,0),NA())</f>
        <v/>
      </c>
    </row>
    <row r="30">
      <c r="A30" t="inlineStr">
        <is>
          <t>D0073</t>
        </is>
      </c>
      <c r="B30" t="inlineStr">
        <is>
          <t>Lake Autohaus 073</t>
        </is>
      </c>
      <c r="C30" t="inlineStr">
        <is>
          <t>Lake Geneva</t>
        </is>
      </c>
      <c r="D30" t="n">
        <v>2383</v>
      </c>
      <c r="E30" t="n">
        <v>390</v>
      </c>
      <c r="F30" s="12">
        <f>IFERROR(E30/D30,0)</f>
        <v/>
      </c>
      <c r="G30" s="16" t="n">
        <v>10.6806336551</v>
      </c>
      <c r="H30" s="12" t="n">
        <v>0.9414872849</v>
      </c>
      <c r="I30" s="15" t="n">
        <v>9106040.98</v>
      </c>
      <c r="J30">
        <f>IF(D30&gt;=250,"Yes","No")</f>
        <v/>
      </c>
      <c r="K30">
        <f>IF(J30="Yes",RANK.EQ(F30,$F$5:$F$154,0),NA())</f>
        <v/>
      </c>
    </row>
    <row r="31">
      <c r="A31" t="inlineStr">
        <is>
          <t>D0141</t>
        </is>
      </c>
      <c r="B31" t="inlineStr">
        <is>
          <t>Eastern Autohaus 141</t>
        </is>
      </c>
      <c r="C31" t="inlineStr">
        <is>
          <t>Eastern Switzerland</t>
        </is>
      </c>
      <c r="D31" t="n">
        <v>2271</v>
      </c>
      <c r="E31" t="n">
        <v>369</v>
      </c>
      <c r="F31" s="12">
        <f>IFERROR(E31/D31,0)</f>
        <v/>
      </c>
      <c r="G31" s="16" t="n">
        <v>9.209700572399999</v>
      </c>
      <c r="H31" s="12" t="n">
        <v>0.9546531044</v>
      </c>
      <c r="I31" s="15" t="n">
        <v>8319588.74</v>
      </c>
      <c r="J31">
        <f>IF(D31&gt;=250,"Yes","No")</f>
        <v/>
      </c>
      <c r="K31">
        <f>IF(J31="Yes",RANK.EQ(F31,$F$5:$F$154,0),NA())</f>
        <v/>
      </c>
    </row>
    <row r="32">
      <c r="A32" t="inlineStr">
        <is>
          <t>D0056</t>
        </is>
      </c>
      <c r="B32" t="inlineStr">
        <is>
          <t>Lake Autohaus 056</t>
        </is>
      </c>
      <c r="C32" t="inlineStr">
        <is>
          <t>Lake Geneva</t>
        </is>
      </c>
      <c r="D32" t="n">
        <v>2219</v>
      </c>
      <c r="E32" t="n">
        <v>358</v>
      </c>
      <c r="F32" s="12">
        <f>IFERROR(E32/D32,0)</f>
        <v/>
      </c>
      <c r="G32" s="16" t="n">
        <v>8.4731771068</v>
      </c>
      <c r="H32" s="12" t="n">
        <v>0.9461335286</v>
      </c>
      <c r="I32" s="15" t="n">
        <v>8472511.85</v>
      </c>
      <c r="J32">
        <f>IF(D32&gt;=250,"Yes","No")</f>
        <v/>
      </c>
      <c r="K32">
        <f>IF(J32="Yes",RANK.EQ(F32,$F$5:$F$154,0),NA())</f>
        <v/>
      </c>
    </row>
    <row r="33">
      <c r="A33" t="inlineStr">
        <is>
          <t>D0128</t>
        </is>
      </c>
      <c r="B33" t="inlineStr">
        <is>
          <t>Lake Autohaus 128</t>
        </is>
      </c>
      <c r="C33" t="inlineStr">
        <is>
          <t>Lake Geneva</t>
        </is>
      </c>
      <c r="D33" t="n">
        <v>2262</v>
      </c>
      <c r="E33" t="n">
        <v>356</v>
      </c>
      <c r="F33" s="12">
        <f>IFERROR(E33/D33,0)</f>
        <v/>
      </c>
      <c r="G33" s="16" t="n">
        <v>12.7909460654</v>
      </c>
      <c r="H33" s="12" t="n">
        <v>0.9501922635</v>
      </c>
      <c r="I33" s="15" t="n">
        <v>7489049.76</v>
      </c>
      <c r="J33">
        <f>IF(D33&gt;=250,"Yes","No")</f>
        <v/>
      </c>
      <c r="K33">
        <f>IF(J33="Yes",RANK.EQ(F33,$F$5:$F$154,0),NA())</f>
        <v/>
      </c>
    </row>
    <row r="34">
      <c r="A34" t="inlineStr">
        <is>
          <t>D0001</t>
        </is>
      </c>
      <c r="B34" t="inlineStr">
        <is>
          <t>Espace Autohaus 001</t>
        </is>
      </c>
      <c r="C34" t="inlineStr">
        <is>
          <t>Espace Mittelland</t>
        </is>
      </c>
      <c r="D34" t="n">
        <v>2273</v>
      </c>
      <c r="E34" t="n">
        <v>357</v>
      </c>
      <c r="F34" s="12">
        <f>IFERROR(E34/D34,0)</f>
        <v/>
      </c>
      <c r="G34" s="16" t="n">
        <v>13.6174219094</v>
      </c>
      <c r="H34" s="12" t="n">
        <v>0.9538610647</v>
      </c>
      <c r="I34" s="15" t="n">
        <v>7917451.74</v>
      </c>
      <c r="J34">
        <f>IF(D34&gt;=250,"Yes","No")</f>
        <v/>
      </c>
      <c r="K34">
        <f>IF(J34="Yes",RANK.EQ(F34,$F$5:$F$154,0),NA())</f>
        <v/>
      </c>
    </row>
    <row r="35">
      <c r="A35" t="inlineStr">
        <is>
          <t>D0024</t>
        </is>
      </c>
      <c r="B35" t="inlineStr">
        <is>
          <t>Lake Autohaus 024</t>
        </is>
      </c>
      <c r="C35" t="inlineStr">
        <is>
          <t>Lake Geneva</t>
        </is>
      </c>
      <c r="D35" t="n">
        <v>2281</v>
      </c>
      <c r="E35" t="n">
        <v>354</v>
      </c>
      <c r="F35" s="12">
        <f>IFERROR(E35/D35,0)</f>
        <v/>
      </c>
      <c r="G35" s="16" t="n">
        <v>10.1838097326</v>
      </c>
      <c r="H35" s="12" t="n">
        <v>0.9452338886</v>
      </c>
      <c r="I35" s="15" t="n">
        <v>7676505.19</v>
      </c>
      <c r="J35">
        <f>IF(D35&gt;=250,"Yes","No")</f>
        <v/>
      </c>
      <c r="K35">
        <f>IF(J35="Yes",RANK.EQ(F35,$F$5:$F$154,0),NA())</f>
        <v/>
      </c>
    </row>
    <row r="36">
      <c r="A36" t="inlineStr">
        <is>
          <t>D0087</t>
        </is>
      </c>
      <c r="B36" t="inlineStr">
        <is>
          <t>Zurich Autohaus 087</t>
        </is>
      </c>
      <c r="C36" t="inlineStr">
        <is>
          <t>Zurich</t>
        </is>
      </c>
      <c r="D36" t="n">
        <v>2236</v>
      </c>
      <c r="E36" t="n">
        <v>331</v>
      </c>
      <c r="F36" s="12">
        <f>IFERROR(E36/D36,0)</f>
        <v/>
      </c>
      <c r="G36" s="16" t="n">
        <v>22.3697898032</v>
      </c>
      <c r="H36" s="12" t="n">
        <v>0.9496486136</v>
      </c>
      <c r="I36" s="15" t="n">
        <v>7647970.75</v>
      </c>
      <c r="J36">
        <f>IF(D36&gt;=250,"Yes","No")</f>
        <v/>
      </c>
      <c r="K36">
        <f>IF(J36="Yes",RANK.EQ(F36,$F$5:$F$154,0),NA())</f>
        <v/>
      </c>
    </row>
    <row r="37">
      <c r="A37" t="inlineStr">
        <is>
          <t>D0008</t>
        </is>
      </c>
      <c r="B37" t="inlineStr">
        <is>
          <t>Central Autohaus 008</t>
        </is>
      </c>
      <c r="C37" t="inlineStr">
        <is>
          <t>Central Switzerland</t>
        </is>
      </c>
      <c r="D37" t="n">
        <v>2356</v>
      </c>
      <c r="E37" t="n">
        <v>346</v>
      </c>
      <c r="F37" s="12">
        <f>IFERROR(E37/D37,0)</f>
        <v/>
      </c>
      <c r="G37" s="16" t="n">
        <v>10.0911247878</v>
      </c>
      <c r="H37" s="12" t="n">
        <v>0.9285258065000001</v>
      </c>
      <c r="I37" s="15" t="n">
        <v>7354478.65</v>
      </c>
      <c r="J37">
        <f>IF(D37&gt;=250,"Yes","No")</f>
        <v/>
      </c>
      <c r="K37">
        <f>IF(J37="Yes",RANK.EQ(F37,$F$5:$F$154,0),NA())</f>
        <v/>
      </c>
    </row>
    <row r="38">
      <c r="A38" t="inlineStr">
        <is>
          <t>D0048</t>
        </is>
      </c>
      <c r="B38" t="inlineStr">
        <is>
          <t>Ticino Autohaus 048</t>
        </is>
      </c>
      <c r="C38" t="inlineStr">
        <is>
          <t>Ticino</t>
        </is>
      </c>
      <c r="D38" t="n">
        <v>2282</v>
      </c>
      <c r="E38" t="n">
        <v>334</v>
      </c>
      <c r="F38" s="12">
        <f>IFERROR(E38/D38,0)</f>
        <v/>
      </c>
      <c r="G38" s="16" t="n">
        <v>9.932537247999999</v>
      </c>
      <c r="H38" s="12" t="n">
        <v>0.9327489483</v>
      </c>
      <c r="I38" s="15" t="n">
        <v>6943146.18</v>
      </c>
      <c r="J38">
        <f>IF(D38&gt;=250,"Yes","No")</f>
        <v/>
      </c>
      <c r="K38">
        <f>IF(J38="Yes",RANK.EQ(F38,$F$5:$F$154,0),NA())</f>
        <v/>
      </c>
    </row>
    <row r="39">
      <c r="A39" t="inlineStr">
        <is>
          <t>D0140</t>
        </is>
      </c>
      <c r="B39" t="inlineStr">
        <is>
          <t>Zurich Autohaus 140</t>
        </is>
      </c>
      <c r="C39" t="inlineStr">
        <is>
          <t>Zurich</t>
        </is>
      </c>
      <c r="D39" t="n">
        <v>2222</v>
      </c>
      <c r="E39" t="n">
        <v>325</v>
      </c>
      <c r="F39" s="12">
        <f>IFERROR(E39/D39,0)</f>
        <v/>
      </c>
      <c r="G39" s="16" t="n">
        <v>11.6979522952</v>
      </c>
      <c r="H39" s="12" t="n">
        <v>0.9388192619</v>
      </c>
      <c r="I39" s="15" t="n">
        <v>7123241.92</v>
      </c>
      <c r="J39">
        <f>IF(D39&gt;=250,"Yes","No")</f>
        <v/>
      </c>
      <c r="K39">
        <f>IF(J39="Yes",RANK.EQ(F39,$F$5:$F$154,0),NA())</f>
        <v/>
      </c>
    </row>
    <row r="40">
      <c r="A40" t="inlineStr">
        <is>
          <t>D0003</t>
        </is>
      </c>
      <c r="B40" t="inlineStr">
        <is>
          <t>Northwestern Autohaus 003</t>
        </is>
      </c>
      <c r="C40" t="inlineStr">
        <is>
          <t>Northwestern Switzerland</t>
        </is>
      </c>
      <c r="D40" t="n">
        <v>2280</v>
      </c>
      <c r="E40" t="n">
        <v>330</v>
      </c>
      <c r="F40" s="12">
        <f>IFERROR(E40/D40,0)</f>
        <v/>
      </c>
      <c r="G40" s="16" t="n">
        <v>10.4110350877</v>
      </c>
      <c r="H40" s="12" t="n">
        <v>0.9459942982</v>
      </c>
      <c r="I40" s="15" t="n">
        <v>7497550.63</v>
      </c>
      <c r="J40">
        <f>IF(D40&gt;=250,"Yes","No")</f>
        <v/>
      </c>
      <c r="K40">
        <f>IF(J40="Yes",RANK.EQ(F40,$F$5:$F$154,0),NA())</f>
        <v/>
      </c>
    </row>
    <row r="41">
      <c r="A41" t="inlineStr">
        <is>
          <t>D0136</t>
        </is>
      </c>
      <c r="B41" t="inlineStr">
        <is>
          <t>Eastern Autohaus 136</t>
        </is>
      </c>
      <c r="C41" t="inlineStr">
        <is>
          <t>Eastern Switzerland</t>
        </is>
      </c>
      <c r="D41" t="n">
        <v>2277</v>
      </c>
      <c r="E41" t="n">
        <v>325</v>
      </c>
      <c r="F41" s="12">
        <f>IFERROR(E41/D41,0)</f>
        <v/>
      </c>
      <c r="G41" s="16" t="n">
        <v>14.7839306105</v>
      </c>
      <c r="H41" s="12" t="n">
        <v>0.9457610013</v>
      </c>
      <c r="I41" s="15" t="n">
        <v>7304499.89</v>
      </c>
      <c r="J41">
        <f>IF(D41&gt;=250,"Yes","No")</f>
        <v/>
      </c>
      <c r="K41">
        <f>IF(J41="Yes",RANK.EQ(F41,$F$5:$F$154,0),NA())</f>
        <v/>
      </c>
    </row>
    <row r="42">
      <c r="A42" t="inlineStr">
        <is>
          <t>D0105</t>
        </is>
      </c>
      <c r="B42" t="inlineStr">
        <is>
          <t>Ticino Autohaus 105</t>
        </is>
      </c>
      <c r="C42" t="inlineStr">
        <is>
          <t>Ticino</t>
        </is>
      </c>
      <c r="D42" t="n">
        <v>2229</v>
      </c>
      <c r="E42" t="n">
        <v>316</v>
      </c>
      <c r="F42" s="12">
        <f>IFERROR(E42/D42,0)</f>
        <v/>
      </c>
      <c r="G42" s="16" t="n">
        <v>9.5265903993</v>
      </c>
      <c r="H42" s="12" t="n">
        <v>0.9334765366</v>
      </c>
      <c r="I42" s="15" t="n">
        <v>6807519.97</v>
      </c>
      <c r="J42">
        <f>IF(D42&gt;=250,"Yes","No")</f>
        <v/>
      </c>
      <c r="K42">
        <f>IF(J42="Yes",RANK.EQ(F42,$F$5:$F$154,0),NA())</f>
        <v/>
      </c>
    </row>
    <row r="43">
      <c r="A43" t="inlineStr">
        <is>
          <t>D0098</t>
        </is>
      </c>
      <c r="B43" t="inlineStr">
        <is>
          <t>Central Autohaus 098</t>
        </is>
      </c>
      <c r="C43" t="inlineStr">
        <is>
          <t>Central Switzerland</t>
        </is>
      </c>
      <c r="D43" t="n">
        <v>2227</v>
      </c>
      <c r="E43" t="n">
        <v>310</v>
      </c>
      <c r="F43" s="12">
        <f>IFERROR(E43/D43,0)</f>
        <v/>
      </c>
      <c r="G43" s="16" t="n">
        <v>9.948567579700001</v>
      </c>
      <c r="H43" s="12" t="n">
        <v>0.9417929053</v>
      </c>
      <c r="I43" s="15" t="n">
        <v>7002923.57</v>
      </c>
      <c r="J43">
        <f>IF(D43&gt;=250,"Yes","No")</f>
        <v/>
      </c>
      <c r="K43">
        <f>IF(J43="Yes",RANK.EQ(F43,$F$5:$F$154,0),NA())</f>
        <v/>
      </c>
    </row>
    <row r="44">
      <c r="A44" t="inlineStr">
        <is>
          <t>D0006</t>
        </is>
      </c>
      <c r="B44" t="inlineStr">
        <is>
          <t>Central Autohaus 006</t>
        </is>
      </c>
      <c r="C44" t="inlineStr">
        <is>
          <t>Central Switzerland</t>
        </is>
      </c>
      <c r="D44" t="n">
        <v>2263</v>
      </c>
      <c r="E44" t="n">
        <v>312</v>
      </c>
      <c r="F44" s="12">
        <f>IFERROR(E44/D44,0)</f>
        <v/>
      </c>
      <c r="G44" s="16" t="n">
        <v>13.759491825</v>
      </c>
      <c r="H44" s="12" t="n">
        <v>0.9428622625</v>
      </c>
      <c r="I44" s="15" t="n">
        <v>7257277.78</v>
      </c>
      <c r="J44">
        <f>IF(D44&gt;=250,"Yes","No")</f>
        <v/>
      </c>
      <c r="K44">
        <f>IF(J44="Yes",RANK.EQ(F44,$F$5:$F$154,0),NA())</f>
        <v/>
      </c>
    </row>
    <row r="45">
      <c r="A45" t="inlineStr">
        <is>
          <t>D0133</t>
        </is>
      </c>
      <c r="B45" t="inlineStr">
        <is>
          <t>Ticino Autohaus 133</t>
        </is>
      </c>
      <c r="C45" t="inlineStr">
        <is>
          <t>Ticino</t>
        </is>
      </c>
      <c r="D45" t="n">
        <v>2245</v>
      </c>
      <c r="E45" t="n">
        <v>308</v>
      </c>
      <c r="F45" s="12">
        <f>IFERROR(E45/D45,0)</f>
        <v/>
      </c>
      <c r="G45" s="16" t="n">
        <v>17.4209309577</v>
      </c>
      <c r="H45" s="12" t="n">
        <v>0.9352019154</v>
      </c>
      <c r="I45" s="15" t="n">
        <v>6854551.4</v>
      </c>
      <c r="J45">
        <f>IF(D45&gt;=250,"Yes","No")</f>
        <v/>
      </c>
      <c r="K45">
        <f>IF(J45="Yes",RANK.EQ(F45,$F$5:$F$154,0),NA())</f>
        <v/>
      </c>
    </row>
    <row r="46">
      <c r="A46" t="inlineStr">
        <is>
          <t>D0110</t>
        </is>
      </c>
      <c r="B46" t="inlineStr">
        <is>
          <t>Zurich Autohaus 110</t>
        </is>
      </c>
      <c r="C46" t="inlineStr">
        <is>
          <t>Zurich</t>
        </is>
      </c>
      <c r="D46" t="n">
        <v>2280</v>
      </c>
      <c r="E46" t="n">
        <v>312</v>
      </c>
      <c r="F46" s="12">
        <f>IFERROR(E46/D46,0)</f>
        <v/>
      </c>
      <c r="G46" s="16" t="n">
        <v>8.776666666700001</v>
      </c>
      <c r="H46" s="12" t="n">
        <v>0.9412361842</v>
      </c>
      <c r="I46" s="15" t="n">
        <v>7592922.8</v>
      </c>
      <c r="J46">
        <f>IF(D46&gt;=250,"Yes","No")</f>
        <v/>
      </c>
      <c r="K46">
        <f>IF(J46="Yes",RANK.EQ(F46,$F$5:$F$154,0),NA())</f>
        <v/>
      </c>
    </row>
    <row r="47">
      <c r="A47" t="inlineStr">
        <is>
          <t>D0099</t>
        </is>
      </c>
      <c r="B47" t="inlineStr">
        <is>
          <t>Zurich Autohaus 099</t>
        </is>
      </c>
      <c r="C47" t="inlineStr">
        <is>
          <t>Zurich</t>
        </is>
      </c>
      <c r="D47" t="n">
        <v>2370</v>
      </c>
      <c r="E47" t="n">
        <v>323</v>
      </c>
      <c r="F47" s="12">
        <f>IFERROR(E47/D47,0)</f>
        <v/>
      </c>
      <c r="G47" s="16" t="n">
        <v>8.8666160338</v>
      </c>
      <c r="H47" s="12" t="n">
        <v>0.9373903376</v>
      </c>
      <c r="I47" s="15" t="n">
        <v>7071353.97</v>
      </c>
      <c r="J47">
        <f>IF(D47&gt;=250,"Yes","No")</f>
        <v/>
      </c>
      <c r="K47">
        <f>IF(J47="Yes",RANK.EQ(F47,$F$5:$F$154,0),NA())</f>
        <v/>
      </c>
    </row>
    <row r="48">
      <c r="A48" t="inlineStr">
        <is>
          <t>D0044</t>
        </is>
      </c>
      <c r="B48" t="inlineStr">
        <is>
          <t>Central Autohaus 044</t>
        </is>
      </c>
      <c r="C48" t="inlineStr">
        <is>
          <t>Central Switzerland</t>
        </is>
      </c>
      <c r="D48" t="n">
        <v>2305</v>
      </c>
      <c r="E48" t="n">
        <v>314</v>
      </c>
      <c r="F48" s="12">
        <f>IFERROR(E48/D48,0)</f>
        <v/>
      </c>
      <c r="G48" s="16" t="n">
        <v>11.1061171367</v>
      </c>
      <c r="H48" s="12" t="n">
        <v>0.9100212148</v>
      </c>
      <c r="I48" s="15" t="n">
        <v>6583847.98</v>
      </c>
      <c r="J48">
        <f>IF(D48&gt;=250,"Yes","No")</f>
        <v/>
      </c>
      <c r="K48">
        <f>IF(J48="Yes",RANK.EQ(F48,$F$5:$F$154,0),NA())</f>
        <v/>
      </c>
    </row>
    <row r="49">
      <c r="A49" t="inlineStr">
        <is>
          <t>D0117</t>
        </is>
      </c>
      <c r="B49" t="inlineStr">
        <is>
          <t>Espace Autohaus 117</t>
        </is>
      </c>
      <c r="C49" t="inlineStr">
        <is>
          <t>Espace Mittelland</t>
        </is>
      </c>
      <c r="D49" t="n">
        <v>2383</v>
      </c>
      <c r="E49" t="n">
        <v>324</v>
      </c>
      <c r="F49" s="12">
        <f>IFERROR(E49/D49,0)</f>
        <v/>
      </c>
      <c r="G49" s="16" t="n">
        <v>10.5799202686</v>
      </c>
      <c r="H49" s="12" t="n">
        <v>0.9566481746</v>
      </c>
      <c r="I49" s="15" t="n">
        <v>6949037.13</v>
      </c>
      <c r="J49">
        <f>IF(D49&gt;=250,"Yes","No")</f>
        <v/>
      </c>
      <c r="K49">
        <f>IF(J49="Yes",RANK.EQ(F49,$F$5:$F$154,0),NA())</f>
        <v/>
      </c>
    </row>
    <row r="50">
      <c r="A50" t="inlineStr">
        <is>
          <t>D0026</t>
        </is>
      </c>
      <c r="B50" t="inlineStr">
        <is>
          <t>Lake Autohaus 026</t>
        </is>
      </c>
      <c r="C50" t="inlineStr">
        <is>
          <t>Lake Geneva</t>
        </is>
      </c>
      <c r="D50" t="n">
        <v>2237</v>
      </c>
      <c r="E50" t="n">
        <v>293</v>
      </c>
      <c r="F50" s="12">
        <f>IFERROR(E50/D50,0)</f>
        <v/>
      </c>
      <c r="G50" s="16" t="n">
        <v>11.9301698704</v>
      </c>
      <c r="H50" s="12" t="n">
        <v>0.9187702727</v>
      </c>
      <c r="I50" s="15" t="n">
        <v>6706882.23</v>
      </c>
      <c r="J50">
        <f>IF(D50&gt;=250,"Yes","No")</f>
        <v/>
      </c>
      <c r="K50">
        <f>IF(J50="Yes",RANK.EQ(F50,$F$5:$F$154,0),NA())</f>
        <v/>
      </c>
    </row>
    <row r="51">
      <c r="A51" t="inlineStr">
        <is>
          <t>D0131</t>
        </is>
      </c>
      <c r="B51" t="inlineStr">
        <is>
          <t>Northwestern Autohaus 131</t>
        </is>
      </c>
      <c r="C51" t="inlineStr">
        <is>
          <t>Northwestern Switzerland</t>
        </is>
      </c>
      <c r="D51" t="n">
        <v>2377</v>
      </c>
      <c r="E51" t="n">
        <v>305</v>
      </c>
      <c r="F51" s="12">
        <f>IFERROR(E51/D51,0)</f>
        <v/>
      </c>
      <c r="G51" s="16" t="n">
        <v>13.0262263357</v>
      </c>
      <c r="H51" s="12" t="n">
        <v>0.9478356752</v>
      </c>
      <c r="I51" s="15" t="n">
        <v>6625695.07</v>
      </c>
      <c r="J51">
        <f>IF(D51&gt;=250,"Yes","No")</f>
        <v/>
      </c>
      <c r="K51">
        <f>IF(J51="Yes",RANK.EQ(F51,$F$5:$F$154,0),NA())</f>
        <v/>
      </c>
    </row>
    <row r="52">
      <c r="A52" t="inlineStr">
        <is>
          <t>D0092</t>
        </is>
      </c>
      <c r="B52" t="inlineStr">
        <is>
          <t>Central Autohaus 092</t>
        </is>
      </c>
      <c r="C52" t="inlineStr">
        <is>
          <t>Central Switzerland</t>
        </is>
      </c>
      <c r="D52" t="n">
        <v>2328</v>
      </c>
      <c r="E52" t="n">
        <v>293</v>
      </c>
      <c r="F52" s="12">
        <f>IFERROR(E52/D52,0)</f>
        <v/>
      </c>
      <c r="G52" s="16" t="n">
        <v>6.2827104811</v>
      </c>
      <c r="H52" s="12" t="n">
        <v>0.91902311</v>
      </c>
      <c r="I52" s="15" t="n">
        <v>6283380.8</v>
      </c>
      <c r="J52">
        <f>IF(D52&gt;=250,"Yes","No")</f>
        <v/>
      </c>
      <c r="K52">
        <f>IF(J52="Yes",RANK.EQ(F52,$F$5:$F$154,0),NA())</f>
        <v/>
      </c>
    </row>
    <row r="53">
      <c r="A53" t="inlineStr">
        <is>
          <t>D0065</t>
        </is>
      </c>
      <c r="B53" t="inlineStr">
        <is>
          <t>Central Autohaus 065</t>
        </is>
      </c>
      <c r="C53" t="inlineStr">
        <is>
          <t>Central Switzerland</t>
        </is>
      </c>
      <c r="D53" t="n">
        <v>2370</v>
      </c>
      <c r="E53" t="n">
        <v>296</v>
      </c>
      <c r="F53" s="12">
        <f>IFERROR(E53/D53,0)</f>
        <v/>
      </c>
      <c r="G53" s="16" t="n">
        <v>13.1582278481</v>
      </c>
      <c r="H53" s="12" t="n">
        <v>0.9301872152</v>
      </c>
      <c r="I53" s="15" t="n">
        <v>6479094.81</v>
      </c>
      <c r="J53">
        <f>IF(D53&gt;=250,"Yes","No")</f>
        <v/>
      </c>
      <c r="K53">
        <f>IF(J53="Yes",RANK.EQ(F53,$F$5:$F$154,0),NA())</f>
        <v/>
      </c>
    </row>
    <row r="54">
      <c r="A54" t="inlineStr">
        <is>
          <t>D0070</t>
        </is>
      </c>
      <c r="B54" t="inlineStr">
        <is>
          <t>Espace Autohaus 070</t>
        </is>
      </c>
      <c r="C54" t="inlineStr">
        <is>
          <t>Espace Mittelland</t>
        </is>
      </c>
      <c r="D54" t="n">
        <v>2335</v>
      </c>
      <c r="E54" t="n">
        <v>285</v>
      </c>
      <c r="F54" s="12">
        <f>IFERROR(E54/D54,0)</f>
        <v/>
      </c>
      <c r="G54" s="16" t="n">
        <v>13.5839143469</v>
      </c>
      <c r="H54" s="12" t="n">
        <v>0.9305442398</v>
      </c>
      <c r="I54" s="15" t="n">
        <v>6204000.69</v>
      </c>
      <c r="J54">
        <f>IF(D54&gt;=250,"Yes","No")</f>
        <v/>
      </c>
      <c r="K54">
        <f>IF(J54="Yes",RANK.EQ(F54,$F$5:$F$154,0),NA())</f>
        <v/>
      </c>
    </row>
    <row r="55">
      <c r="A55" t="inlineStr">
        <is>
          <t>D0103</t>
        </is>
      </c>
      <c r="B55" t="inlineStr">
        <is>
          <t>Northwestern Autohaus 103</t>
        </is>
      </c>
      <c r="C55" t="inlineStr">
        <is>
          <t>Northwestern Switzerland</t>
        </is>
      </c>
      <c r="D55" t="n">
        <v>2297</v>
      </c>
      <c r="E55" t="n">
        <v>277</v>
      </c>
      <c r="F55" s="12">
        <f>IFERROR(E55/D55,0)</f>
        <v/>
      </c>
      <c r="G55" s="16" t="n">
        <v>12.1261427949</v>
      </c>
      <c r="H55" s="12" t="n">
        <v>0.9471227253</v>
      </c>
      <c r="I55" s="15" t="n">
        <v>5610398.16</v>
      </c>
      <c r="J55">
        <f>IF(D55&gt;=250,"Yes","No")</f>
        <v/>
      </c>
      <c r="K55">
        <f>IF(J55="Yes",RANK.EQ(F55,$F$5:$F$154,0),NA())</f>
        <v/>
      </c>
    </row>
    <row r="56">
      <c r="A56" t="inlineStr">
        <is>
          <t>D0036</t>
        </is>
      </c>
      <c r="B56" t="inlineStr">
        <is>
          <t>Espace Autohaus 036</t>
        </is>
      </c>
      <c r="C56" t="inlineStr">
        <is>
          <t>Espace Mittelland</t>
        </is>
      </c>
      <c r="D56" t="n">
        <v>2255</v>
      </c>
      <c r="E56" t="n">
        <v>261</v>
      </c>
      <c r="F56" s="12">
        <f>IFERROR(E56/D56,0)</f>
        <v/>
      </c>
      <c r="G56" s="16" t="n">
        <v>18.0091308204</v>
      </c>
      <c r="H56" s="12" t="n">
        <v>0.9467540576</v>
      </c>
      <c r="I56" s="15" t="n">
        <v>6096758.27</v>
      </c>
      <c r="J56">
        <f>IF(D56&gt;=250,"Yes","No")</f>
        <v/>
      </c>
      <c r="K56">
        <f>IF(J56="Yes",RANK.EQ(F56,$F$5:$F$154,0),NA())</f>
        <v/>
      </c>
    </row>
    <row r="57">
      <c r="A57" t="inlineStr">
        <is>
          <t>D0018</t>
        </is>
      </c>
      <c r="B57" t="inlineStr">
        <is>
          <t>Espace Autohaus 018</t>
        </is>
      </c>
      <c r="C57" t="inlineStr">
        <is>
          <t>Espace Mittelland</t>
        </is>
      </c>
      <c r="D57" t="n">
        <v>2353</v>
      </c>
      <c r="E57" t="n">
        <v>265</v>
      </c>
      <c r="F57" s="12">
        <f>IFERROR(E57/D57,0)</f>
        <v/>
      </c>
      <c r="G57" s="16" t="n">
        <v>13.95280068</v>
      </c>
      <c r="H57" s="12" t="n">
        <v>0.9241288568</v>
      </c>
      <c r="I57" s="15" t="n">
        <v>5464307.79</v>
      </c>
      <c r="J57">
        <f>IF(D57&gt;=250,"Yes","No")</f>
        <v/>
      </c>
      <c r="K57">
        <f>IF(J57="Yes",RANK.EQ(F57,$F$5:$F$154,0),NA())</f>
        <v/>
      </c>
    </row>
    <row r="58">
      <c r="A58" t="inlineStr">
        <is>
          <t>D0135</t>
        </is>
      </c>
      <c r="B58" t="inlineStr">
        <is>
          <t>Northwestern Autohaus 135</t>
        </is>
      </c>
      <c r="C58" t="inlineStr">
        <is>
          <t>Northwestern Switzerland</t>
        </is>
      </c>
      <c r="D58" t="n">
        <v>2358</v>
      </c>
      <c r="E58" t="n">
        <v>262</v>
      </c>
      <c r="F58" s="12">
        <f>IFERROR(E58/D58,0)</f>
        <v/>
      </c>
      <c r="G58" s="16" t="n">
        <v>7.4780619169</v>
      </c>
      <c r="H58" s="12" t="n">
        <v>0.9211946141</v>
      </c>
      <c r="I58" s="15" t="n">
        <v>5660638.81</v>
      </c>
      <c r="J58">
        <f>IF(D58&gt;=250,"Yes","No")</f>
        <v/>
      </c>
      <c r="K58">
        <f>IF(J58="Yes",RANK.EQ(F58,$F$5:$F$154,0),NA())</f>
        <v/>
      </c>
    </row>
    <row r="59">
      <c r="A59" t="inlineStr">
        <is>
          <t>D0113</t>
        </is>
      </c>
      <c r="B59" t="inlineStr">
        <is>
          <t>Lake Autohaus 113</t>
        </is>
      </c>
      <c r="C59" t="inlineStr">
        <is>
          <t>Lake Geneva</t>
        </is>
      </c>
      <c r="D59" t="n">
        <v>2240</v>
      </c>
      <c r="E59" t="n">
        <v>245</v>
      </c>
      <c r="F59" s="12">
        <f>IFERROR(E59/D59,0)</f>
        <v/>
      </c>
      <c r="G59" s="16" t="n">
        <v>11.1137767857</v>
      </c>
      <c r="H59" s="12" t="n">
        <v>0.9140709375</v>
      </c>
      <c r="I59" s="15" t="n">
        <v>4991881.12</v>
      </c>
      <c r="J59">
        <f>IF(D59&gt;=250,"Yes","No")</f>
        <v/>
      </c>
      <c r="K59">
        <f>IF(J59="Yes",RANK.EQ(F59,$F$5:$F$154,0),NA())</f>
        <v/>
      </c>
    </row>
    <row r="60">
      <c r="A60" t="inlineStr">
        <is>
          <t>D0047</t>
        </is>
      </c>
      <c r="B60" t="inlineStr">
        <is>
          <t>Northwestern Autohaus 047</t>
        </is>
      </c>
      <c r="C60" t="inlineStr">
        <is>
          <t>Northwestern Switzerland</t>
        </is>
      </c>
      <c r="D60" t="n">
        <v>2300</v>
      </c>
      <c r="E60" t="n">
        <v>246</v>
      </c>
      <c r="F60" s="12">
        <f>IFERROR(E60/D60,0)</f>
        <v/>
      </c>
      <c r="G60" s="16" t="n">
        <v>21.9126</v>
      </c>
      <c r="H60" s="12" t="n">
        <v>0.9398663913</v>
      </c>
      <c r="I60" s="15" t="n">
        <v>5400765.82</v>
      </c>
      <c r="J60">
        <f>IF(D60&gt;=250,"Yes","No")</f>
        <v/>
      </c>
      <c r="K60">
        <f>IF(J60="Yes",RANK.EQ(F60,$F$5:$F$154,0),NA())</f>
        <v/>
      </c>
    </row>
    <row r="61">
      <c r="A61" t="inlineStr">
        <is>
          <t>D0096</t>
        </is>
      </c>
      <c r="B61" t="inlineStr">
        <is>
          <t>Central Autohaus 096</t>
        </is>
      </c>
      <c r="C61" t="inlineStr">
        <is>
          <t>Central Switzerland</t>
        </is>
      </c>
      <c r="D61" t="n">
        <v>2361</v>
      </c>
      <c r="E61" t="n">
        <v>250</v>
      </c>
      <c r="F61" s="12">
        <f>IFERROR(E61/D61,0)</f>
        <v/>
      </c>
      <c r="G61" s="16" t="n">
        <v>12.367734011</v>
      </c>
      <c r="H61" s="12" t="n">
        <v>0.9244398136</v>
      </c>
      <c r="I61" s="15" t="n">
        <v>5041139.65</v>
      </c>
      <c r="J61">
        <f>IF(D61&gt;=250,"Yes","No")</f>
        <v/>
      </c>
      <c r="K61">
        <f>IF(J61="Yes",RANK.EQ(F61,$F$5:$F$154,0),NA())</f>
        <v/>
      </c>
    </row>
    <row r="62">
      <c r="A62" t="inlineStr">
        <is>
          <t>D0107</t>
        </is>
      </c>
      <c r="B62" t="inlineStr">
        <is>
          <t>Eastern Autohaus 107</t>
        </is>
      </c>
      <c r="C62" t="inlineStr">
        <is>
          <t>Eastern Switzerland</t>
        </is>
      </c>
      <c r="D62" t="n">
        <v>2262</v>
      </c>
      <c r="E62" t="n">
        <v>235</v>
      </c>
      <c r="F62" s="12">
        <f>IFERROR(E62/D62,0)</f>
        <v/>
      </c>
      <c r="G62" s="16" t="n">
        <v>19.5150751547</v>
      </c>
      <c r="H62" s="12" t="n">
        <v>0.9529761273</v>
      </c>
      <c r="I62" s="15" t="n">
        <v>4985482.37</v>
      </c>
      <c r="J62">
        <f>IF(D62&gt;=250,"Yes","No")</f>
        <v/>
      </c>
      <c r="K62">
        <f>IF(J62="Yes",RANK.EQ(F62,$F$5:$F$154,0),NA())</f>
        <v/>
      </c>
    </row>
    <row r="63">
      <c r="A63" t="inlineStr">
        <is>
          <t>D0118</t>
        </is>
      </c>
      <c r="B63" t="inlineStr">
        <is>
          <t>Central Autohaus 118</t>
        </is>
      </c>
      <c r="C63" t="inlineStr">
        <is>
          <t>Central Switzerland</t>
        </is>
      </c>
      <c r="D63" t="n">
        <v>2249</v>
      </c>
      <c r="E63" t="n">
        <v>233</v>
      </c>
      <c r="F63" s="12">
        <f>IFERROR(E63/D63,0)</f>
        <v/>
      </c>
      <c r="G63" s="16" t="n">
        <v>10.7035927079</v>
      </c>
      <c r="H63" s="12" t="n">
        <v>0.9275094709</v>
      </c>
      <c r="I63" s="15" t="n">
        <v>4970813.66</v>
      </c>
      <c r="J63">
        <f>IF(D63&gt;=250,"Yes","No")</f>
        <v/>
      </c>
      <c r="K63">
        <f>IF(J63="Yes",RANK.EQ(F63,$F$5:$F$154,0),NA())</f>
        <v/>
      </c>
    </row>
    <row r="64">
      <c r="A64" t="inlineStr">
        <is>
          <t>D0109</t>
        </is>
      </c>
      <c r="B64" t="inlineStr">
        <is>
          <t>Central Autohaus 109</t>
        </is>
      </c>
      <c r="C64" t="inlineStr">
        <is>
          <t>Central Switzerland</t>
        </is>
      </c>
      <c r="D64" t="n">
        <v>2315</v>
      </c>
      <c r="E64" t="n">
        <v>239</v>
      </c>
      <c r="F64" s="12">
        <f>IFERROR(E64/D64,0)</f>
        <v/>
      </c>
      <c r="G64" s="16" t="n">
        <v>15.9755939525</v>
      </c>
      <c r="H64" s="12" t="n">
        <v>0.9269886393</v>
      </c>
      <c r="I64" s="15" t="n">
        <v>5183348.61</v>
      </c>
      <c r="J64">
        <f>IF(D64&gt;=250,"Yes","No")</f>
        <v/>
      </c>
      <c r="K64">
        <f>IF(J64="Yes",RANK.EQ(F64,$F$5:$F$154,0),NA())</f>
        <v/>
      </c>
    </row>
    <row r="65">
      <c r="A65" t="inlineStr">
        <is>
          <t>D0029</t>
        </is>
      </c>
      <c r="B65" t="inlineStr">
        <is>
          <t>Lake Autohaus 029</t>
        </is>
      </c>
      <c r="C65" t="inlineStr">
        <is>
          <t>Lake Geneva</t>
        </is>
      </c>
      <c r="D65" t="n">
        <v>2412</v>
      </c>
      <c r="E65" t="n">
        <v>246</v>
      </c>
      <c r="F65" s="12">
        <f>IFERROR(E65/D65,0)</f>
        <v/>
      </c>
      <c r="G65" s="16" t="n">
        <v>13.0663101161</v>
      </c>
      <c r="H65" s="12" t="n">
        <v>0.9324578358</v>
      </c>
      <c r="I65" s="15" t="n">
        <v>4844313.09</v>
      </c>
      <c r="J65">
        <f>IF(D65&gt;=250,"Yes","No")</f>
        <v/>
      </c>
      <c r="K65">
        <f>IF(J65="Yes",RANK.EQ(F65,$F$5:$F$154,0),NA())</f>
        <v/>
      </c>
    </row>
    <row r="66">
      <c r="A66" t="inlineStr">
        <is>
          <t>D0007</t>
        </is>
      </c>
      <c r="B66" t="inlineStr">
        <is>
          <t>Lake Autohaus 007</t>
        </is>
      </c>
      <c r="C66" t="inlineStr">
        <is>
          <t>Lake Geneva</t>
        </is>
      </c>
      <c r="D66" t="n">
        <v>2250</v>
      </c>
      <c r="E66" t="n">
        <v>227</v>
      </c>
      <c r="F66" s="12">
        <f>IFERROR(E66/D66,0)</f>
        <v/>
      </c>
      <c r="G66" s="16" t="n">
        <v>10.9511466667</v>
      </c>
      <c r="H66" s="12" t="n">
        <v>0.9326093333</v>
      </c>
      <c r="I66" s="15" t="n">
        <v>4863460.14</v>
      </c>
      <c r="J66">
        <f>IF(D66&gt;=250,"Yes","No")</f>
        <v/>
      </c>
      <c r="K66">
        <f>IF(J66="Yes",RANK.EQ(F66,$F$5:$F$154,0),NA())</f>
        <v/>
      </c>
    </row>
    <row r="67">
      <c r="A67" t="inlineStr">
        <is>
          <t>D0100</t>
        </is>
      </c>
      <c r="B67" t="inlineStr">
        <is>
          <t>Zurich Autohaus 100</t>
        </is>
      </c>
      <c r="C67" t="inlineStr">
        <is>
          <t>Zurich</t>
        </is>
      </c>
      <c r="D67" t="n">
        <v>2381</v>
      </c>
      <c r="E67" t="n">
        <v>236</v>
      </c>
      <c r="F67" s="12">
        <f>IFERROR(E67/D67,0)</f>
        <v/>
      </c>
      <c r="G67" s="16" t="n">
        <v>11.3397144057</v>
      </c>
      <c r="H67" s="12" t="n">
        <v>0.9407183956</v>
      </c>
      <c r="I67" s="15" t="n">
        <v>4960754.4</v>
      </c>
      <c r="J67">
        <f>IF(D67&gt;=250,"Yes","No")</f>
        <v/>
      </c>
      <c r="K67">
        <f>IF(J67="Yes",RANK.EQ(F67,$F$5:$F$154,0),NA())</f>
        <v/>
      </c>
    </row>
    <row r="68">
      <c r="A68" t="inlineStr">
        <is>
          <t>D0137</t>
        </is>
      </c>
      <c r="B68" t="inlineStr">
        <is>
          <t>Central Autohaus 137</t>
        </is>
      </c>
      <c r="C68" t="inlineStr">
        <is>
          <t>Central Switzerland</t>
        </is>
      </c>
      <c r="D68" t="n">
        <v>2381</v>
      </c>
      <c r="E68" t="n">
        <v>231</v>
      </c>
      <c r="F68" s="12">
        <f>IFERROR(E68/D68,0)</f>
        <v/>
      </c>
      <c r="G68" s="16" t="n">
        <v>10.0747417052</v>
      </c>
      <c r="H68" s="12" t="n">
        <v>0.9043779504</v>
      </c>
      <c r="I68" s="15" t="n">
        <v>4891853.99</v>
      </c>
      <c r="J68">
        <f>IF(D68&gt;=250,"Yes","No")</f>
        <v/>
      </c>
      <c r="K68">
        <f>IF(J68="Yes",RANK.EQ(F68,$F$5:$F$154,0),NA())</f>
        <v/>
      </c>
    </row>
    <row r="69">
      <c r="A69" t="inlineStr">
        <is>
          <t>D0123</t>
        </is>
      </c>
      <c r="B69" t="inlineStr">
        <is>
          <t>Central Autohaus 123</t>
        </is>
      </c>
      <c r="C69" t="inlineStr">
        <is>
          <t>Central Switzerland</t>
        </is>
      </c>
      <c r="D69" t="n">
        <v>2295</v>
      </c>
      <c r="E69" t="n">
        <v>222</v>
      </c>
      <c r="F69" s="12">
        <f>IFERROR(E69/D69,0)</f>
        <v/>
      </c>
      <c r="G69" s="16" t="n">
        <v>14.5205185185</v>
      </c>
      <c r="H69" s="12" t="n">
        <v>0.9250485403000001</v>
      </c>
      <c r="I69" s="15" t="n">
        <v>4491275.73</v>
      </c>
      <c r="J69">
        <f>IF(D69&gt;=250,"Yes","No")</f>
        <v/>
      </c>
      <c r="K69">
        <f>IF(J69="Yes",RANK.EQ(F69,$F$5:$F$154,0),NA())</f>
        <v/>
      </c>
    </row>
    <row r="70">
      <c r="A70" t="inlineStr">
        <is>
          <t>D0005</t>
        </is>
      </c>
      <c r="B70" t="inlineStr">
        <is>
          <t>Central Autohaus 005</t>
        </is>
      </c>
      <c r="C70" t="inlineStr">
        <is>
          <t>Central Switzerland</t>
        </is>
      </c>
      <c r="D70" t="n">
        <v>2251</v>
      </c>
      <c r="E70" t="n">
        <v>208</v>
      </c>
      <c r="F70" s="12">
        <f>IFERROR(E70/D70,0)</f>
        <v/>
      </c>
      <c r="G70" s="16" t="n">
        <v>14.1594891159</v>
      </c>
      <c r="H70" s="12" t="n">
        <v>0.9355366948</v>
      </c>
      <c r="I70" s="15" t="n">
        <v>4671625.03</v>
      </c>
      <c r="J70">
        <f>IF(D70&gt;=250,"Yes","No")</f>
        <v/>
      </c>
      <c r="K70">
        <f>IF(J70="Yes",RANK.EQ(F70,$F$5:$F$154,0),NA())</f>
        <v/>
      </c>
    </row>
    <row r="71">
      <c r="A71" t="inlineStr">
        <is>
          <t>D0061</t>
        </is>
      </c>
      <c r="B71" t="inlineStr">
        <is>
          <t>Eastern Autohaus 061</t>
        </is>
      </c>
      <c r="C71" t="inlineStr">
        <is>
          <t>Eastern Switzerland</t>
        </is>
      </c>
      <c r="D71" t="n">
        <v>2324</v>
      </c>
      <c r="E71" t="n">
        <v>213</v>
      </c>
      <c r="F71" s="12">
        <f>IFERROR(E71/D71,0)</f>
        <v/>
      </c>
      <c r="G71" s="16" t="n">
        <v>14.9375473322</v>
      </c>
      <c r="H71" s="12" t="n">
        <v>0.9201961274</v>
      </c>
      <c r="I71" s="15" t="n">
        <v>4361719.63</v>
      </c>
      <c r="J71">
        <f>IF(D71&gt;=250,"Yes","No")</f>
        <v/>
      </c>
      <c r="K71">
        <f>IF(J71="Yes",RANK.EQ(F71,$F$5:$F$154,0),NA())</f>
        <v/>
      </c>
    </row>
    <row r="72">
      <c r="A72" t="inlineStr">
        <is>
          <t>D0083</t>
        </is>
      </c>
      <c r="B72" t="inlineStr">
        <is>
          <t>Zurich Autohaus 083</t>
        </is>
      </c>
      <c r="C72" t="inlineStr">
        <is>
          <t>Zurich</t>
        </is>
      </c>
      <c r="D72" t="n">
        <v>2263</v>
      </c>
      <c r="E72" t="n">
        <v>205</v>
      </c>
      <c r="F72" s="12">
        <f>IFERROR(E72/D72,0)</f>
        <v/>
      </c>
      <c r="G72" s="16" t="n">
        <v>10.3406849315</v>
      </c>
      <c r="H72" s="12" t="n">
        <v>0.906408882</v>
      </c>
      <c r="I72" s="15" t="n">
        <v>4381552.73</v>
      </c>
      <c r="J72">
        <f>IF(D72&gt;=250,"Yes","No")</f>
        <v/>
      </c>
      <c r="K72">
        <f>IF(J72="Yes",RANK.EQ(F72,$F$5:$F$154,0),NA())</f>
        <v/>
      </c>
    </row>
    <row r="73">
      <c r="A73" t="inlineStr">
        <is>
          <t>D0052</t>
        </is>
      </c>
      <c r="B73" t="inlineStr">
        <is>
          <t>Central Autohaus 052</t>
        </is>
      </c>
      <c r="C73" t="inlineStr">
        <is>
          <t>Central Switzerland</t>
        </is>
      </c>
      <c r="D73" t="n">
        <v>2209</v>
      </c>
      <c r="E73" t="n">
        <v>195</v>
      </c>
      <c r="F73" s="12">
        <f>IFERROR(E73/D73,0)</f>
        <v/>
      </c>
      <c r="G73" s="16" t="n">
        <v>9.616355817100001</v>
      </c>
      <c r="H73" s="12" t="n">
        <v>0.9126851517</v>
      </c>
      <c r="I73" s="15" t="n">
        <v>3976524.53</v>
      </c>
      <c r="J73">
        <f>IF(D73&gt;=250,"Yes","No")</f>
        <v/>
      </c>
      <c r="K73">
        <f>IF(J73="Yes",RANK.EQ(F73,$F$5:$F$154,0),NA())</f>
        <v/>
      </c>
    </row>
    <row r="74">
      <c r="A74" t="inlineStr">
        <is>
          <t>D0027</t>
        </is>
      </c>
      <c r="B74" t="inlineStr">
        <is>
          <t>Espace Autohaus 027</t>
        </is>
      </c>
      <c r="C74" t="inlineStr">
        <is>
          <t>Espace Mittelland</t>
        </is>
      </c>
      <c r="D74" t="n">
        <v>2199</v>
      </c>
      <c r="E74" t="n">
        <v>193</v>
      </c>
      <c r="F74" s="12">
        <f>IFERROR(E74/D74,0)</f>
        <v/>
      </c>
      <c r="G74" s="16" t="n">
        <v>10.6206412005</v>
      </c>
      <c r="H74" s="12" t="n">
        <v>0.9271604366</v>
      </c>
      <c r="I74" s="15" t="n">
        <v>3847820.47</v>
      </c>
      <c r="J74">
        <f>IF(D74&gt;=250,"Yes","No")</f>
        <v/>
      </c>
      <c r="K74">
        <f>IF(J74="Yes",RANK.EQ(F74,$F$5:$F$154,0),NA())</f>
        <v/>
      </c>
    </row>
    <row r="75">
      <c r="A75" t="inlineStr">
        <is>
          <t>D0021</t>
        </is>
      </c>
      <c r="B75" t="inlineStr">
        <is>
          <t>Zurich Autohaus 021</t>
        </is>
      </c>
      <c r="C75" t="inlineStr">
        <is>
          <t>Zurich</t>
        </is>
      </c>
      <c r="D75" t="n">
        <v>2200</v>
      </c>
      <c r="E75" t="n">
        <v>191</v>
      </c>
      <c r="F75" s="12">
        <f>IFERROR(E75/D75,0)</f>
        <v/>
      </c>
      <c r="G75" s="16" t="n">
        <v>9.1571818182</v>
      </c>
      <c r="H75" s="12" t="n">
        <v>0.9133809091</v>
      </c>
      <c r="I75" s="15" t="n">
        <v>4115053.56</v>
      </c>
      <c r="J75">
        <f>IF(D75&gt;=250,"Yes","No")</f>
        <v/>
      </c>
      <c r="K75">
        <f>IF(J75="Yes",RANK.EQ(F75,$F$5:$F$154,0),NA())</f>
        <v/>
      </c>
    </row>
    <row r="76">
      <c r="A76" t="inlineStr">
        <is>
          <t>D0067</t>
        </is>
      </c>
      <c r="B76" t="inlineStr">
        <is>
          <t>Eastern Autohaus 067</t>
        </is>
      </c>
      <c r="C76" t="inlineStr">
        <is>
          <t>Eastern Switzerland</t>
        </is>
      </c>
      <c r="D76" t="n">
        <v>2194</v>
      </c>
      <c r="E76" t="n">
        <v>187</v>
      </c>
      <c r="F76" s="12">
        <f>IFERROR(E76/D76,0)</f>
        <v/>
      </c>
      <c r="G76" s="16" t="n">
        <v>16.1214813127</v>
      </c>
      <c r="H76" s="12" t="n">
        <v>0.937765588</v>
      </c>
      <c r="I76" s="15" t="n">
        <v>3782373.73</v>
      </c>
      <c r="J76">
        <f>IF(D76&gt;=250,"Yes","No")</f>
        <v/>
      </c>
      <c r="K76">
        <f>IF(J76="Yes",RANK.EQ(F76,$F$5:$F$154,0),NA())</f>
        <v/>
      </c>
    </row>
    <row r="77">
      <c r="A77" t="inlineStr">
        <is>
          <t>D0022</t>
        </is>
      </c>
      <c r="B77" t="inlineStr">
        <is>
          <t>Espace Autohaus 022</t>
        </is>
      </c>
      <c r="C77" t="inlineStr">
        <is>
          <t>Espace Mittelland</t>
        </is>
      </c>
      <c r="D77" t="n">
        <v>2265</v>
      </c>
      <c r="E77" t="n">
        <v>193</v>
      </c>
      <c r="F77" s="12">
        <f>IFERROR(E77/D77,0)</f>
        <v/>
      </c>
      <c r="G77" s="16" t="n">
        <v>5.841214128</v>
      </c>
      <c r="H77" s="12" t="n">
        <v>0.9189572185</v>
      </c>
      <c r="I77" s="15" t="n">
        <v>3762008.85</v>
      </c>
      <c r="J77">
        <f>IF(D77&gt;=250,"Yes","No")</f>
        <v/>
      </c>
      <c r="K77">
        <f>IF(J77="Yes",RANK.EQ(F77,$F$5:$F$154,0),NA())</f>
        <v/>
      </c>
    </row>
    <row r="78">
      <c r="A78" t="inlineStr">
        <is>
          <t>D0059</t>
        </is>
      </c>
      <c r="B78" t="inlineStr">
        <is>
          <t>Central Autohaus 059</t>
        </is>
      </c>
      <c r="C78" t="inlineStr">
        <is>
          <t>Central Switzerland</t>
        </is>
      </c>
      <c r="D78" t="n">
        <v>2316</v>
      </c>
      <c r="E78" t="n">
        <v>196</v>
      </c>
      <c r="F78" s="12">
        <f>IFERROR(E78/D78,0)</f>
        <v/>
      </c>
      <c r="G78" s="16" t="n">
        <v>14.7137348877</v>
      </c>
      <c r="H78" s="12" t="n">
        <v>0.9570496114</v>
      </c>
      <c r="I78" s="15" t="n">
        <v>3869967.56</v>
      </c>
      <c r="J78">
        <f>IF(D78&gt;=250,"Yes","No")</f>
        <v/>
      </c>
      <c r="K78">
        <f>IF(J78="Yes",RANK.EQ(F78,$F$5:$F$154,0),NA())</f>
        <v/>
      </c>
    </row>
    <row r="79">
      <c r="A79" t="inlineStr">
        <is>
          <t>D0045</t>
        </is>
      </c>
      <c r="B79" t="inlineStr">
        <is>
          <t>Lake Autohaus 045</t>
        </is>
      </c>
      <c r="C79" t="inlineStr">
        <is>
          <t>Lake Geneva</t>
        </is>
      </c>
      <c r="D79" t="n">
        <v>2275</v>
      </c>
      <c r="E79" t="n">
        <v>188</v>
      </c>
      <c r="F79" s="12">
        <f>IFERROR(E79/D79,0)</f>
        <v/>
      </c>
      <c r="G79" s="16" t="n">
        <v>11.123178022</v>
      </c>
      <c r="H79" s="12" t="n">
        <v>0.9286970549</v>
      </c>
      <c r="I79" s="15" t="n">
        <v>3810476.91</v>
      </c>
      <c r="J79">
        <f>IF(D79&gt;=250,"Yes","No")</f>
        <v/>
      </c>
      <c r="K79">
        <f>IF(J79="Yes",RANK.EQ(F79,$F$5:$F$154,0),NA())</f>
        <v/>
      </c>
    </row>
    <row r="80">
      <c r="A80" t="inlineStr">
        <is>
          <t>D0121</t>
        </is>
      </c>
      <c r="B80" t="inlineStr">
        <is>
          <t>Northwestern Autohaus 121</t>
        </is>
      </c>
      <c r="C80" t="inlineStr">
        <is>
          <t>Northwestern Switzerland</t>
        </is>
      </c>
      <c r="D80" t="n">
        <v>2333</v>
      </c>
      <c r="E80" t="n">
        <v>189</v>
      </c>
      <c r="F80" s="12">
        <f>IFERROR(E80/D80,0)</f>
        <v/>
      </c>
      <c r="G80" s="16" t="n">
        <v>16.1954350622</v>
      </c>
      <c r="H80" s="12" t="n">
        <v>0.9443003429</v>
      </c>
      <c r="I80" s="15" t="n">
        <v>3813162.74</v>
      </c>
      <c r="J80">
        <f>IF(D80&gt;=250,"Yes","No")</f>
        <v/>
      </c>
      <c r="K80">
        <f>IF(J80="Yes",RANK.EQ(F80,$F$5:$F$154,0),NA())</f>
        <v/>
      </c>
    </row>
    <row r="81">
      <c r="A81" t="inlineStr">
        <is>
          <t>D0037</t>
        </is>
      </c>
      <c r="B81" t="inlineStr">
        <is>
          <t>Zurich Autohaus 037</t>
        </is>
      </c>
      <c r="C81" t="inlineStr">
        <is>
          <t>Zurich</t>
        </is>
      </c>
      <c r="D81" t="n">
        <v>2339</v>
      </c>
      <c r="E81" t="n">
        <v>184</v>
      </c>
      <c r="F81" s="12">
        <f>IFERROR(E81/D81,0)</f>
        <v/>
      </c>
      <c r="G81" s="16" t="n">
        <v>15.8524540402</v>
      </c>
      <c r="H81" s="12" t="n">
        <v>0.9284363831</v>
      </c>
      <c r="I81" s="15" t="n">
        <v>3680255.03</v>
      </c>
      <c r="J81">
        <f>IF(D81&gt;=250,"Yes","No")</f>
        <v/>
      </c>
      <c r="K81">
        <f>IF(J81="Yes",RANK.EQ(F81,$F$5:$F$154,0),NA())</f>
        <v/>
      </c>
    </row>
    <row r="82">
      <c r="A82" t="inlineStr">
        <is>
          <t>D0069</t>
        </is>
      </c>
      <c r="B82" t="inlineStr">
        <is>
          <t>Ticino Autohaus 069</t>
        </is>
      </c>
      <c r="C82" t="inlineStr">
        <is>
          <t>Ticino</t>
        </is>
      </c>
      <c r="D82" t="n">
        <v>2339</v>
      </c>
      <c r="E82" t="n">
        <v>184</v>
      </c>
      <c r="F82" s="12">
        <f>IFERROR(E82/D82,0)</f>
        <v/>
      </c>
      <c r="G82" s="16" t="n">
        <v>10.0350748183</v>
      </c>
      <c r="H82" s="12" t="n">
        <v>0.9221724669</v>
      </c>
      <c r="I82" s="15" t="n">
        <v>3873805.98</v>
      </c>
      <c r="J82">
        <f>IF(D82&gt;=250,"Yes","No")</f>
        <v/>
      </c>
      <c r="K82">
        <f>IF(J82="Yes",RANK.EQ(F82,$F$5:$F$154,0),NA())</f>
        <v/>
      </c>
    </row>
    <row r="83">
      <c r="A83" t="inlineStr">
        <is>
          <t>D0060</t>
        </is>
      </c>
      <c r="B83" t="inlineStr">
        <is>
          <t>Zurich Autohaus 060</t>
        </is>
      </c>
      <c r="C83" t="inlineStr">
        <is>
          <t>Zurich</t>
        </is>
      </c>
      <c r="D83" t="n">
        <v>2354</v>
      </c>
      <c r="E83" t="n">
        <v>182</v>
      </c>
      <c r="F83" s="12">
        <f>IFERROR(E83/D83,0)</f>
        <v/>
      </c>
      <c r="G83" s="16" t="n">
        <v>18.372931181</v>
      </c>
      <c r="H83" s="12" t="n">
        <v>0.9240205607</v>
      </c>
      <c r="I83" s="15" t="n">
        <v>3386827.1</v>
      </c>
      <c r="J83">
        <f>IF(D83&gt;=250,"Yes","No")</f>
        <v/>
      </c>
      <c r="K83">
        <f>IF(J83="Yes",RANK.EQ(F83,$F$5:$F$154,0),NA())</f>
        <v/>
      </c>
    </row>
    <row r="84">
      <c r="A84" t="inlineStr">
        <is>
          <t>D0082</t>
        </is>
      </c>
      <c r="B84" t="inlineStr">
        <is>
          <t>Lake Autohaus 082</t>
        </is>
      </c>
      <c r="C84" t="inlineStr">
        <is>
          <t>Lake Geneva</t>
        </is>
      </c>
      <c r="D84" t="n">
        <v>2235</v>
      </c>
      <c r="E84" t="n">
        <v>172</v>
      </c>
      <c r="F84" s="12">
        <f>IFERROR(E84/D84,0)</f>
        <v/>
      </c>
      <c r="G84" s="16" t="n">
        <v>14.9529753915</v>
      </c>
      <c r="H84" s="12" t="n">
        <v>0.9138774497</v>
      </c>
      <c r="I84" s="15" t="n">
        <v>3650903.11</v>
      </c>
      <c r="J84">
        <f>IF(D84&gt;=250,"Yes","No")</f>
        <v/>
      </c>
      <c r="K84">
        <f>IF(J84="Yes",RANK.EQ(F84,$F$5:$F$154,0),NA())</f>
        <v/>
      </c>
    </row>
    <row r="85">
      <c r="A85" t="inlineStr">
        <is>
          <t>D0145</t>
        </is>
      </c>
      <c r="B85" t="inlineStr">
        <is>
          <t>Lake Autohaus 145</t>
        </is>
      </c>
      <c r="C85" t="inlineStr">
        <is>
          <t>Lake Geneva</t>
        </is>
      </c>
      <c r="D85" t="n">
        <v>2235</v>
      </c>
      <c r="E85" t="n">
        <v>163</v>
      </c>
      <c r="F85" s="12">
        <f>IFERROR(E85/D85,0)</f>
        <v/>
      </c>
      <c r="G85" s="16" t="n">
        <v>8.8678434004</v>
      </c>
      <c r="H85" s="12" t="n">
        <v>0.89328434</v>
      </c>
      <c r="I85" s="15" t="n">
        <v>3091712.07</v>
      </c>
      <c r="J85">
        <f>IF(D85&gt;=250,"Yes","No")</f>
        <v/>
      </c>
      <c r="K85">
        <f>IF(J85="Yes",RANK.EQ(F85,$F$5:$F$154,0),NA())</f>
        <v/>
      </c>
    </row>
    <row r="86">
      <c r="A86" t="inlineStr">
        <is>
          <t>D0104</t>
        </is>
      </c>
      <c r="B86" t="inlineStr">
        <is>
          <t>Espace Autohaus 104</t>
        </is>
      </c>
      <c r="C86" t="inlineStr">
        <is>
          <t>Espace Mittelland</t>
        </is>
      </c>
      <c r="D86" t="n">
        <v>2343</v>
      </c>
      <c r="E86" t="n">
        <v>168</v>
      </c>
      <c r="F86" s="12">
        <f>IFERROR(E86/D86,0)</f>
        <v/>
      </c>
      <c r="G86" s="16" t="n">
        <v>9.256282543699999</v>
      </c>
      <c r="H86" s="12" t="n">
        <v>0.9213016219</v>
      </c>
      <c r="I86" s="15" t="n">
        <v>3396739.6</v>
      </c>
      <c r="J86">
        <f>IF(D86&gt;=250,"Yes","No")</f>
        <v/>
      </c>
      <c r="K86">
        <f>IF(J86="Yes",RANK.EQ(F86,$F$5:$F$154,0),NA())</f>
        <v/>
      </c>
    </row>
    <row r="87">
      <c r="A87" t="inlineStr">
        <is>
          <t>D0019</t>
        </is>
      </c>
      <c r="B87" t="inlineStr">
        <is>
          <t>Central Autohaus 019</t>
        </is>
      </c>
      <c r="C87" t="inlineStr">
        <is>
          <t>Central Switzerland</t>
        </is>
      </c>
      <c r="D87" t="n">
        <v>2230</v>
      </c>
      <c r="E87" t="n">
        <v>156</v>
      </c>
      <c r="F87" s="12">
        <f>IFERROR(E87/D87,0)</f>
        <v/>
      </c>
      <c r="G87" s="16" t="n">
        <v>16.1412914798</v>
      </c>
      <c r="H87" s="12" t="n">
        <v>0.9252165022</v>
      </c>
      <c r="I87" s="15" t="n">
        <v>3400096.36</v>
      </c>
      <c r="J87">
        <f>IF(D87&gt;=250,"Yes","No")</f>
        <v/>
      </c>
      <c r="K87">
        <f>IF(J87="Yes",RANK.EQ(F87,$F$5:$F$154,0),NA())</f>
        <v/>
      </c>
    </row>
    <row r="88">
      <c r="A88" t="inlineStr">
        <is>
          <t>D0097</t>
        </is>
      </c>
      <c r="B88" t="inlineStr">
        <is>
          <t>Espace Autohaus 097</t>
        </is>
      </c>
      <c r="C88" t="inlineStr">
        <is>
          <t>Espace Mittelland</t>
        </is>
      </c>
      <c r="D88" t="n">
        <v>2288</v>
      </c>
      <c r="E88" t="n">
        <v>158</v>
      </c>
      <c r="F88" s="12">
        <f>IFERROR(E88/D88,0)</f>
        <v/>
      </c>
      <c r="G88" s="16" t="n">
        <v>5.9914291958</v>
      </c>
      <c r="H88" s="12" t="n">
        <v>0.9070693182</v>
      </c>
      <c r="I88" s="15" t="n">
        <v>2890009.7</v>
      </c>
      <c r="J88">
        <f>IF(D88&gt;=250,"Yes","No")</f>
        <v/>
      </c>
      <c r="K88">
        <f>IF(J88="Yes",RANK.EQ(F88,$F$5:$F$154,0),NA())</f>
        <v/>
      </c>
    </row>
    <row r="89">
      <c r="A89" t="inlineStr">
        <is>
          <t>D0078</t>
        </is>
      </c>
      <c r="B89" t="inlineStr">
        <is>
          <t>Zurich Autohaus 078</t>
        </is>
      </c>
      <c r="C89" t="inlineStr">
        <is>
          <t>Zurich</t>
        </is>
      </c>
      <c r="D89" t="n">
        <v>2318</v>
      </c>
      <c r="E89" t="n">
        <v>160</v>
      </c>
      <c r="F89" s="12">
        <f>IFERROR(E89/D89,0)</f>
        <v/>
      </c>
      <c r="G89" s="16" t="n">
        <v>13.011686799</v>
      </c>
      <c r="H89" s="12" t="n">
        <v>0.9171638050000001</v>
      </c>
      <c r="I89" s="15" t="n">
        <v>3032074.22</v>
      </c>
      <c r="J89">
        <f>IF(D89&gt;=250,"Yes","No")</f>
        <v/>
      </c>
      <c r="K89">
        <f>IF(J89="Yes",RANK.EQ(F89,$F$5:$F$154,0),NA())</f>
        <v/>
      </c>
    </row>
    <row r="90">
      <c r="A90" t="inlineStr">
        <is>
          <t>D0016</t>
        </is>
      </c>
      <c r="B90" t="inlineStr">
        <is>
          <t>Eastern Autohaus 016</t>
        </is>
      </c>
      <c r="C90" t="inlineStr">
        <is>
          <t>Eastern Switzerland</t>
        </is>
      </c>
      <c r="D90" t="n">
        <v>2316</v>
      </c>
      <c r="E90" t="n">
        <v>156</v>
      </c>
      <c r="F90" s="12">
        <f>IFERROR(E90/D90,0)</f>
        <v/>
      </c>
      <c r="G90" s="16" t="n">
        <v>16.9256778929</v>
      </c>
      <c r="H90" s="12" t="n">
        <v>0.9177899827</v>
      </c>
      <c r="I90" s="15" t="n">
        <v>2848659.08</v>
      </c>
      <c r="J90">
        <f>IF(D90&gt;=250,"Yes","No")</f>
        <v/>
      </c>
      <c r="K90">
        <f>IF(J90="Yes",RANK.EQ(F90,$F$5:$F$154,0),NA())</f>
        <v/>
      </c>
    </row>
    <row r="91">
      <c r="A91" t="inlineStr">
        <is>
          <t>D0075</t>
        </is>
      </c>
      <c r="B91" t="inlineStr">
        <is>
          <t>Zurich Autohaus 075</t>
        </is>
      </c>
      <c r="C91" t="inlineStr">
        <is>
          <t>Zurich</t>
        </is>
      </c>
      <c r="D91" t="n">
        <v>2331</v>
      </c>
      <c r="E91" t="n">
        <v>156</v>
      </c>
      <c r="F91" s="12">
        <f>IFERROR(E91/D91,0)</f>
        <v/>
      </c>
      <c r="G91" s="16" t="n">
        <v>10.8786572287</v>
      </c>
      <c r="H91" s="12" t="n">
        <v>0.8918089232</v>
      </c>
      <c r="I91" s="15" t="n">
        <v>2756555.04</v>
      </c>
      <c r="J91">
        <f>IF(D91&gt;=250,"Yes","No")</f>
        <v/>
      </c>
      <c r="K91">
        <f>IF(J91="Yes",RANK.EQ(F91,$F$5:$F$154,0),NA())</f>
        <v/>
      </c>
    </row>
    <row r="92">
      <c r="A92" t="inlineStr">
        <is>
          <t>D0143</t>
        </is>
      </c>
      <c r="B92" t="inlineStr">
        <is>
          <t>Ticino Autohaus 143</t>
        </is>
      </c>
      <c r="C92" t="inlineStr">
        <is>
          <t>Ticino</t>
        </is>
      </c>
      <c r="D92" t="n">
        <v>2276</v>
      </c>
      <c r="E92" t="n">
        <v>152</v>
      </c>
      <c r="F92" s="12">
        <f>IFERROR(E92/D92,0)</f>
        <v/>
      </c>
      <c r="G92" s="16" t="n">
        <v>8.7930448155</v>
      </c>
      <c r="H92" s="12" t="n">
        <v>0.9032062830000001</v>
      </c>
      <c r="I92" s="15" t="n">
        <v>3061331.97</v>
      </c>
      <c r="J92">
        <f>IF(D92&gt;=250,"Yes","No")</f>
        <v/>
      </c>
      <c r="K92">
        <f>IF(J92="Yes",RANK.EQ(F92,$F$5:$F$154,0),NA())</f>
        <v/>
      </c>
    </row>
    <row r="93">
      <c r="A93" t="inlineStr">
        <is>
          <t>D0148</t>
        </is>
      </c>
      <c r="B93" t="inlineStr">
        <is>
          <t>Eastern Autohaus 148</t>
        </is>
      </c>
      <c r="C93" t="inlineStr">
        <is>
          <t>Eastern Switzerland</t>
        </is>
      </c>
      <c r="D93" t="n">
        <v>2434</v>
      </c>
      <c r="E93" t="n">
        <v>148</v>
      </c>
      <c r="F93" s="12">
        <f>IFERROR(E93/D93,0)</f>
        <v/>
      </c>
      <c r="G93" s="16" t="n">
        <v>13.325505341</v>
      </c>
      <c r="H93" s="12" t="n">
        <v>0.9216702958</v>
      </c>
      <c r="I93" s="15" t="n">
        <v>2944443.84</v>
      </c>
      <c r="J93">
        <f>IF(D93&gt;=250,"Yes","No")</f>
        <v/>
      </c>
      <c r="K93">
        <f>IF(J93="Yes",RANK.EQ(F93,$F$5:$F$154,0),NA())</f>
        <v/>
      </c>
    </row>
    <row r="94">
      <c r="A94" t="inlineStr">
        <is>
          <t>D0030</t>
        </is>
      </c>
      <c r="B94" t="inlineStr">
        <is>
          <t>Eastern Autohaus 030</t>
        </is>
      </c>
      <c r="C94" t="inlineStr">
        <is>
          <t>Eastern Switzerland</t>
        </is>
      </c>
      <c r="D94" t="n">
        <v>2319</v>
      </c>
      <c r="E94" t="n">
        <v>140</v>
      </c>
      <c r="F94" s="12">
        <f>IFERROR(E94/D94,0)</f>
        <v/>
      </c>
      <c r="G94" s="16" t="n">
        <v>10.0766235446</v>
      </c>
      <c r="H94" s="12" t="n">
        <v>0.9005794739</v>
      </c>
      <c r="I94" s="15" t="n">
        <v>2721530.85</v>
      </c>
      <c r="J94">
        <f>IF(D94&gt;=250,"Yes","No")</f>
        <v/>
      </c>
      <c r="K94">
        <f>IF(J94="Yes",RANK.EQ(F94,$F$5:$F$154,0),NA())</f>
        <v/>
      </c>
    </row>
    <row r="95">
      <c r="A95" t="inlineStr">
        <is>
          <t>D0057</t>
        </is>
      </c>
      <c r="B95" t="inlineStr">
        <is>
          <t>Central Autohaus 057</t>
        </is>
      </c>
      <c r="C95" t="inlineStr">
        <is>
          <t>Central Switzerland</t>
        </is>
      </c>
      <c r="D95" t="n">
        <v>2211</v>
      </c>
      <c r="E95" t="n">
        <v>129</v>
      </c>
      <c r="F95" s="12">
        <f>IFERROR(E95/D95,0)</f>
        <v/>
      </c>
      <c r="G95" s="16" t="n">
        <v>13.9274853008</v>
      </c>
      <c r="H95" s="12" t="n">
        <v>0.9034976934</v>
      </c>
      <c r="I95" s="15" t="n">
        <v>2580607.04</v>
      </c>
      <c r="J95">
        <f>IF(D95&gt;=250,"Yes","No")</f>
        <v/>
      </c>
      <c r="K95">
        <f>IF(J95="Yes",RANK.EQ(F95,$F$5:$F$154,0),NA())</f>
        <v/>
      </c>
    </row>
    <row r="96">
      <c r="A96" t="inlineStr">
        <is>
          <t>D0129</t>
        </is>
      </c>
      <c r="B96" t="inlineStr">
        <is>
          <t>Eastern Autohaus 129</t>
        </is>
      </c>
      <c r="C96" t="inlineStr">
        <is>
          <t>Eastern Switzerland</t>
        </is>
      </c>
      <c r="D96" t="n">
        <v>2258</v>
      </c>
      <c r="E96" t="n">
        <v>131</v>
      </c>
      <c r="F96" s="12">
        <f>IFERROR(E96/D96,0)</f>
        <v/>
      </c>
      <c r="G96" s="16" t="n">
        <v>10.7131310895</v>
      </c>
      <c r="H96" s="12" t="n">
        <v>0.9088475642</v>
      </c>
      <c r="I96" s="15" t="n">
        <v>2456140.93</v>
      </c>
      <c r="J96">
        <f>IF(D96&gt;=250,"Yes","No")</f>
        <v/>
      </c>
      <c r="K96">
        <f>IF(J96="Yes",RANK.EQ(F96,$F$5:$F$154,0),NA())</f>
        <v/>
      </c>
    </row>
    <row r="97">
      <c r="A97" t="inlineStr">
        <is>
          <t>D0081</t>
        </is>
      </c>
      <c r="B97" t="inlineStr">
        <is>
          <t>Central Autohaus 081</t>
        </is>
      </c>
      <c r="C97" t="inlineStr">
        <is>
          <t>Central Switzerland</t>
        </is>
      </c>
      <c r="D97" t="n">
        <v>2309</v>
      </c>
      <c r="E97" t="n">
        <v>133</v>
      </c>
      <c r="F97" s="12">
        <f>IFERROR(E97/D97,0)</f>
        <v/>
      </c>
      <c r="G97" s="16" t="n">
        <v>11.8924642702</v>
      </c>
      <c r="H97" s="12" t="n">
        <v>0.9002838458</v>
      </c>
      <c r="I97" s="15" t="n">
        <v>2685731.92</v>
      </c>
      <c r="J97">
        <f>IF(D97&gt;=250,"Yes","No")</f>
        <v/>
      </c>
      <c r="K97">
        <f>IF(J97="Yes",RANK.EQ(F97,$F$5:$F$154,0),NA())</f>
        <v/>
      </c>
    </row>
    <row r="98">
      <c r="A98" t="inlineStr">
        <is>
          <t>D0114</t>
        </is>
      </c>
      <c r="B98" t="inlineStr">
        <is>
          <t>Central Autohaus 114</t>
        </is>
      </c>
      <c r="C98" t="inlineStr">
        <is>
          <t>Central Switzerland</t>
        </is>
      </c>
      <c r="D98" t="n">
        <v>2273</v>
      </c>
      <c r="E98" t="n">
        <v>130</v>
      </c>
      <c r="F98" s="12">
        <f>IFERROR(E98/D98,0)</f>
        <v/>
      </c>
      <c r="G98" s="16" t="n">
        <v>13.2155565332</v>
      </c>
      <c r="H98" s="12" t="n">
        <v>0.8993062033</v>
      </c>
      <c r="I98" s="15" t="n">
        <v>2302472.59</v>
      </c>
      <c r="J98">
        <f>IF(D98&gt;=250,"Yes","No")</f>
        <v/>
      </c>
      <c r="K98">
        <f>IF(J98="Yes",RANK.EQ(F98,$F$5:$F$154,0),NA())</f>
        <v/>
      </c>
    </row>
    <row r="99">
      <c r="A99" t="inlineStr">
        <is>
          <t>D0077</t>
        </is>
      </c>
      <c r="B99" t="inlineStr">
        <is>
          <t>Zurich Autohaus 077</t>
        </is>
      </c>
      <c r="C99" t="inlineStr">
        <is>
          <t>Zurich</t>
        </is>
      </c>
      <c r="D99" t="n">
        <v>2248</v>
      </c>
      <c r="E99" t="n">
        <v>127</v>
      </c>
      <c r="F99" s="12">
        <f>IFERROR(E99/D99,0)</f>
        <v/>
      </c>
      <c r="G99" s="16" t="n">
        <v>16.6720862989</v>
      </c>
      <c r="H99" s="12" t="n">
        <v>0.906373532</v>
      </c>
      <c r="I99" s="15" t="n">
        <v>2134288.02</v>
      </c>
      <c r="J99">
        <f>IF(D99&gt;=250,"Yes","No")</f>
        <v/>
      </c>
      <c r="K99">
        <f>IF(J99="Yes",RANK.EQ(F99,$F$5:$F$154,0),NA())</f>
        <v/>
      </c>
    </row>
    <row r="100">
      <c r="A100" t="inlineStr">
        <is>
          <t>D0013</t>
        </is>
      </c>
      <c r="B100" t="inlineStr">
        <is>
          <t>Ticino Autohaus 013</t>
        </is>
      </c>
      <c r="C100" t="inlineStr">
        <is>
          <t>Ticino</t>
        </is>
      </c>
      <c r="D100" t="n">
        <v>2337</v>
      </c>
      <c r="E100" t="n">
        <v>128</v>
      </c>
      <c r="F100" s="12">
        <f>IFERROR(E100/D100,0)</f>
        <v/>
      </c>
      <c r="G100" s="16" t="n">
        <v>5.9471801455</v>
      </c>
      <c r="H100" s="12" t="n">
        <v>0.8807808301</v>
      </c>
      <c r="I100" s="15" t="n">
        <v>2587473.64</v>
      </c>
      <c r="J100">
        <f>IF(D100&gt;=250,"Yes","No")</f>
        <v/>
      </c>
      <c r="K100">
        <f>IF(J100="Yes",RANK.EQ(F100,$F$5:$F$154,0),NA())</f>
        <v/>
      </c>
    </row>
    <row r="101">
      <c r="A101" t="inlineStr">
        <is>
          <t>D0051</t>
        </is>
      </c>
      <c r="B101" t="inlineStr">
        <is>
          <t>Central Autohaus 051</t>
        </is>
      </c>
      <c r="C101" t="inlineStr">
        <is>
          <t>Central Switzerland</t>
        </is>
      </c>
      <c r="D101" t="n">
        <v>2294</v>
      </c>
      <c r="E101" t="n">
        <v>125</v>
      </c>
      <c r="F101" s="12">
        <f>IFERROR(E101/D101,0)</f>
        <v/>
      </c>
      <c r="G101" s="16" t="n">
        <v>10.2575588492</v>
      </c>
      <c r="H101" s="12" t="n">
        <v>0.9050286835</v>
      </c>
      <c r="I101" s="15" t="n">
        <v>2390278.99</v>
      </c>
      <c r="J101">
        <f>IF(D101&gt;=250,"Yes","No")</f>
        <v/>
      </c>
      <c r="K101">
        <f>IF(J101="Yes",RANK.EQ(F101,$F$5:$F$154,0),NA())</f>
        <v/>
      </c>
    </row>
    <row r="102">
      <c r="A102" t="inlineStr">
        <is>
          <t>D0058</t>
        </is>
      </c>
      <c r="B102" t="inlineStr">
        <is>
          <t>Central Autohaus 058</t>
        </is>
      </c>
      <c r="C102" t="inlineStr">
        <is>
          <t>Central Switzerland</t>
        </is>
      </c>
      <c r="D102" t="n">
        <v>2217</v>
      </c>
      <c r="E102" t="n">
        <v>119</v>
      </c>
      <c r="F102" s="12">
        <f>IFERROR(E102/D102,0)</f>
        <v/>
      </c>
      <c r="G102" s="16" t="n">
        <v>12.5373026613</v>
      </c>
      <c r="H102" s="12" t="n">
        <v>0.9129122237</v>
      </c>
      <c r="I102" s="15" t="n">
        <v>2424628.05</v>
      </c>
      <c r="J102">
        <f>IF(D102&gt;=250,"Yes","No")</f>
        <v/>
      </c>
      <c r="K102">
        <f>IF(J102="Yes",RANK.EQ(F102,$F$5:$F$154,0),NA())</f>
        <v/>
      </c>
    </row>
    <row r="103">
      <c r="A103" t="inlineStr">
        <is>
          <t>D0042</t>
        </is>
      </c>
      <c r="B103" t="inlineStr">
        <is>
          <t>Ticino Autohaus 042</t>
        </is>
      </c>
      <c r="C103" t="inlineStr">
        <is>
          <t>Ticino</t>
        </is>
      </c>
      <c r="D103" t="n">
        <v>2376</v>
      </c>
      <c r="E103" t="n">
        <v>123</v>
      </c>
      <c r="F103" s="12">
        <f>IFERROR(E103/D103,0)</f>
        <v/>
      </c>
      <c r="G103" s="16" t="n">
        <v>11.1219023569</v>
      </c>
      <c r="H103" s="12" t="n">
        <v>0.9072021886</v>
      </c>
      <c r="I103" s="15" t="n">
        <v>2220776.78</v>
      </c>
      <c r="J103">
        <f>IF(D103&gt;=250,"Yes","No")</f>
        <v/>
      </c>
      <c r="K103">
        <f>IF(J103="Yes",RANK.EQ(F103,$F$5:$F$154,0),NA())</f>
        <v/>
      </c>
    </row>
    <row r="104">
      <c r="A104" t="inlineStr">
        <is>
          <t>D0106</t>
        </is>
      </c>
      <c r="B104" t="inlineStr">
        <is>
          <t>Zurich Autohaus 106</t>
        </is>
      </c>
      <c r="C104" t="inlineStr">
        <is>
          <t>Zurich</t>
        </is>
      </c>
      <c r="D104" t="n">
        <v>2319</v>
      </c>
      <c r="E104" t="n">
        <v>119</v>
      </c>
      <c r="F104" s="12">
        <f>IFERROR(E104/D104,0)</f>
        <v/>
      </c>
      <c r="G104" s="16" t="n">
        <v>9.266791720600001</v>
      </c>
      <c r="H104" s="12" t="n">
        <v>0.8840291936</v>
      </c>
      <c r="I104" s="15" t="n">
        <v>2319478.97</v>
      </c>
      <c r="J104">
        <f>IF(D104&gt;=250,"Yes","No")</f>
        <v/>
      </c>
      <c r="K104">
        <f>IF(J104="Yes",RANK.EQ(F104,$F$5:$F$154,0),NA())</f>
        <v/>
      </c>
    </row>
    <row r="105">
      <c r="A105" t="inlineStr">
        <is>
          <t>D0023</t>
        </is>
      </c>
      <c r="B105" t="inlineStr">
        <is>
          <t>Eastern Autohaus 023</t>
        </is>
      </c>
      <c r="C105" t="inlineStr">
        <is>
          <t>Eastern Switzerland</t>
        </is>
      </c>
      <c r="D105" t="n">
        <v>2285</v>
      </c>
      <c r="E105" t="n">
        <v>117</v>
      </c>
      <c r="F105" s="12">
        <f>IFERROR(E105/D105,0)</f>
        <v/>
      </c>
      <c r="G105" s="16" t="n">
        <v>9.5765820569</v>
      </c>
      <c r="H105" s="12" t="n">
        <v>0.9058446389</v>
      </c>
      <c r="I105" s="15" t="n">
        <v>2347025.5</v>
      </c>
      <c r="J105">
        <f>IF(D105&gt;=250,"Yes","No")</f>
        <v/>
      </c>
      <c r="K105">
        <f>IF(J105="Yes",RANK.EQ(F105,$F$5:$F$154,0),NA())</f>
        <v/>
      </c>
    </row>
    <row r="106">
      <c r="A106" t="inlineStr">
        <is>
          <t>D0049</t>
        </is>
      </c>
      <c r="B106" t="inlineStr">
        <is>
          <t>Ticino Autohaus 049</t>
        </is>
      </c>
      <c r="C106" t="inlineStr">
        <is>
          <t>Ticino</t>
        </is>
      </c>
      <c r="D106" t="n">
        <v>2353</v>
      </c>
      <c r="E106" t="n">
        <v>120</v>
      </c>
      <c r="F106" s="12">
        <f>IFERROR(E106/D106,0)</f>
        <v/>
      </c>
      <c r="G106" s="16" t="n">
        <v>7.6469528262</v>
      </c>
      <c r="H106" s="12" t="n">
        <v>0.8873832979</v>
      </c>
      <c r="I106" s="15" t="n">
        <v>2332811.19</v>
      </c>
      <c r="J106">
        <f>IF(D106&gt;=250,"Yes","No")</f>
        <v/>
      </c>
      <c r="K106">
        <f>IF(J106="Yes",RANK.EQ(F106,$F$5:$F$154,0),NA())</f>
        <v/>
      </c>
    </row>
    <row r="107">
      <c r="A107" t="inlineStr">
        <is>
          <t>D0132</t>
        </is>
      </c>
      <c r="B107" t="inlineStr">
        <is>
          <t>Zurich Autohaus 132</t>
        </is>
      </c>
      <c r="C107" t="inlineStr">
        <is>
          <t>Zurich</t>
        </is>
      </c>
      <c r="D107" t="n">
        <v>2326</v>
      </c>
      <c r="E107" t="n">
        <v>113</v>
      </c>
      <c r="F107" s="12">
        <f>IFERROR(E107/D107,0)</f>
        <v/>
      </c>
      <c r="G107" s="16" t="n">
        <v>11.0352837489</v>
      </c>
      <c r="H107" s="12" t="n">
        <v>0.8966273431</v>
      </c>
      <c r="I107" s="15" t="n">
        <v>2028050.07</v>
      </c>
      <c r="J107">
        <f>IF(D107&gt;=250,"Yes","No")</f>
        <v/>
      </c>
      <c r="K107">
        <f>IF(J107="Yes",RANK.EQ(F107,$F$5:$F$154,0),NA())</f>
        <v/>
      </c>
    </row>
    <row r="108">
      <c r="A108" t="inlineStr">
        <is>
          <t>D0124</t>
        </is>
      </c>
      <c r="B108" t="inlineStr">
        <is>
          <t>Northwestern Autohaus 124</t>
        </is>
      </c>
      <c r="C108" t="inlineStr">
        <is>
          <t>Northwestern Switzerland</t>
        </is>
      </c>
      <c r="D108" t="n">
        <v>2225</v>
      </c>
      <c r="E108" t="n">
        <v>101</v>
      </c>
      <c r="F108" s="12">
        <f>IFERROR(E108/D108,0)</f>
        <v/>
      </c>
      <c r="G108" s="16" t="n">
        <v>14.574741573</v>
      </c>
      <c r="H108" s="12" t="n">
        <v>0.9190426966</v>
      </c>
      <c r="I108" s="15" t="n">
        <v>2169382.24</v>
      </c>
      <c r="J108">
        <f>IF(D108&gt;=250,"Yes","No")</f>
        <v/>
      </c>
      <c r="K108">
        <f>IF(J108="Yes",RANK.EQ(F108,$F$5:$F$154,0),NA())</f>
        <v/>
      </c>
    </row>
    <row r="109">
      <c r="A109" t="inlineStr">
        <is>
          <t>D0149</t>
        </is>
      </c>
      <c r="B109" t="inlineStr">
        <is>
          <t>Ticino Autohaus 149</t>
        </is>
      </c>
      <c r="C109" t="inlineStr">
        <is>
          <t>Ticino</t>
        </is>
      </c>
      <c r="D109" t="n">
        <v>2265</v>
      </c>
      <c r="E109" t="n">
        <v>98</v>
      </c>
      <c r="F109" s="12">
        <f>IFERROR(E109/D109,0)</f>
        <v/>
      </c>
      <c r="G109" s="16" t="n">
        <v>8.4652362031</v>
      </c>
      <c r="H109" s="12" t="n">
        <v>0.895260574</v>
      </c>
      <c r="I109" s="15" t="n">
        <v>1655082.56</v>
      </c>
      <c r="J109">
        <f>IF(D109&gt;=250,"Yes","No")</f>
        <v/>
      </c>
      <c r="K109">
        <f>IF(J109="Yes",RANK.EQ(F109,$F$5:$F$154,0),NA())</f>
        <v/>
      </c>
    </row>
    <row r="110">
      <c r="A110" t="inlineStr">
        <is>
          <t>D0088</t>
        </is>
      </c>
      <c r="B110" t="inlineStr">
        <is>
          <t>Espace Autohaus 088</t>
        </is>
      </c>
      <c r="C110" t="inlineStr">
        <is>
          <t>Espace Mittelland</t>
        </is>
      </c>
      <c r="D110" t="n">
        <v>2219</v>
      </c>
      <c r="E110" t="n">
        <v>96</v>
      </c>
      <c r="F110" s="12">
        <f>IFERROR(E110/D110,0)</f>
        <v/>
      </c>
      <c r="G110" s="16" t="n">
        <v>12.2060387562</v>
      </c>
      <c r="H110" s="12" t="n">
        <v>0.893924155</v>
      </c>
      <c r="I110" s="15" t="n">
        <v>1727665.89</v>
      </c>
      <c r="J110">
        <f>IF(D110&gt;=250,"Yes","No")</f>
        <v/>
      </c>
      <c r="K110">
        <f>IF(J110="Yes",RANK.EQ(F110,$F$5:$F$154,0),NA())</f>
        <v/>
      </c>
    </row>
    <row r="111">
      <c r="A111" t="inlineStr">
        <is>
          <t>D0025</t>
        </is>
      </c>
      <c r="B111" t="inlineStr">
        <is>
          <t>Northwestern Autohaus 025</t>
        </is>
      </c>
      <c r="C111" t="inlineStr">
        <is>
          <t>Northwestern Switzerland</t>
        </is>
      </c>
      <c r="D111" t="n">
        <v>2256</v>
      </c>
      <c r="E111" t="n">
        <v>97</v>
      </c>
      <c r="F111" s="12">
        <f>IFERROR(E111/D111,0)</f>
        <v/>
      </c>
      <c r="G111" s="16" t="n">
        <v>15.9916090426</v>
      </c>
      <c r="H111" s="12" t="n">
        <v>0.8955475177</v>
      </c>
      <c r="I111" s="15" t="n">
        <v>1650393.28</v>
      </c>
      <c r="J111">
        <f>IF(D111&gt;=250,"Yes","No")</f>
        <v/>
      </c>
      <c r="K111">
        <f>IF(J111="Yes",RANK.EQ(F111,$F$5:$F$154,0),NA())</f>
        <v/>
      </c>
    </row>
    <row r="112">
      <c r="A112" t="inlineStr">
        <is>
          <t>D0139</t>
        </is>
      </c>
      <c r="B112" t="inlineStr">
        <is>
          <t>Central Autohaus 139</t>
        </is>
      </c>
      <c r="C112" t="inlineStr">
        <is>
          <t>Central Switzerland</t>
        </is>
      </c>
      <c r="D112" t="n">
        <v>2249</v>
      </c>
      <c r="E112" t="n">
        <v>94</v>
      </c>
      <c r="F112" s="12">
        <f>IFERROR(E112/D112,0)</f>
        <v/>
      </c>
      <c r="G112" s="16" t="n">
        <v>10.0173099155</v>
      </c>
      <c r="H112" s="12" t="n">
        <v>0.9038666518</v>
      </c>
      <c r="I112" s="15" t="n">
        <v>1866903.13</v>
      </c>
      <c r="J112">
        <f>IF(D112&gt;=250,"Yes","No")</f>
        <v/>
      </c>
      <c r="K112">
        <f>IF(J112="Yes",RANK.EQ(F112,$F$5:$F$154,0),NA())</f>
        <v/>
      </c>
    </row>
    <row r="113">
      <c r="A113" t="inlineStr">
        <is>
          <t>D0068</t>
        </is>
      </c>
      <c r="B113" t="inlineStr">
        <is>
          <t>Northwestern Autohaus 068</t>
        </is>
      </c>
      <c r="C113" t="inlineStr">
        <is>
          <t>Northwestern Switzerland</t>
        </is>
      </c>
      <c r="D113" t="n">
        <v>2347</v>
      </c>
      <c r="E113" t="n">
        <v>98</v>
      </c>
      <c r="F113" s="12">
        <f>IFERROR(E113/D113,0)</f>
        <v/>
      </c>
      <c r="G113" s="16" t="n">
        <v>14.8198167874</v>
      </c>
      <c r="H113" s="12" t="n">
        <v>0.9038725181</v>
      </c>
      <c r="I113" s="15" t="n">
        <v>1715371.87</v>
      </c>
      <c r="J113">
        <f>IF(D113&gt;=250,"Yes","No")</f>
        <v/>
      </c>
      <c r="K113">
        <f>IF(J113="Yes",RANK.EQ(F113,$F$5:$F$154,0),NA())</f>
        <v/>
      </c>
    </row>
    <row r="114">
      <c r="A114" t="inlineStr">
        <is>
          <t>D0138</t>
        </is>
      </c>
      <c r="B114" t="inlineStr">
        <is>
          <t>Ticino Autohaus 138</t>
        </is>
      </c>
      <c r="C114" t="inlineStr">
        <is>
          <t>Ticino</t>
        </is>
      </c>
      <c r="D114" t="n">
        <v>2249</v>
      </c>
      <c r="E114" t="n">
        <v>93</v>
      </c>
      <c r="F114" s="12">
        <f>IFERROR(E114/D114,0)</f>
        <v/>
      </c>
      <c r="G114" s="16" t="n">
        <v>6.2693374833</v>
      </c>
      <c r="H114" s="12" t="n">
        <v>0.9040582926</v>
      </c>
      <c r="I114" s="15" t="n">
        <v>1762666.01</v>
      </c>
      <c r="J114">
        <f>IF(D114&gt;=250,"Yes","No")</f>
        <v/>
      </c>
      <c r="K114">
        <f>IF(J114="Yes",RANK.EQ(F114,$F$5:$F$154,0),NA())</f>
        <v/>
      </c>
    </row>
    <row r="115">
      <c r="A115" t="inlineStr">
        <is>
          <t>D0063</t>
        </is>
      </c>
      <c r="B115" t="inlineStr">
        <is>
          <t>Zurich Autohaus 063</t>
        </is>
      </c>
      <c r="C115" t="inlineStr">
        <is>
          <t>Zurich</t>
        </is>
      </c>
      <c r="D115" t="n">
        <v>2203</v>
      </c>
      <c r="E115" t="n">
        <v>91</v>
      </c>
      <c r="F115" s="12">
        <f>IFERROR(E115/D115,0)</f>
        <v/>
      </c>
      <c r="G115" s="16" t="n">
        <v>10.923790286</v>
      </c>
      <c r="H115" s="12" t="n">
        <v>0.8957133</v>
      </c>
      <c r="I115" s="15" t="n">
        <v>1527071.31</v>
      </c>
      <c r="J115">
        <f>IF(D115&gt;=250,"Yes","No")</f>
        <v/>
      </c>
      <c r="K115">
        <f>IF(J115="Yes",RANK.EQ(F115,$F$5:$F$154,0),NA())</f>
        <v/>
      </c>
    </row>
    <row r="116">
      <c r="A116" t="inlineStr">
        <is>
          <t>D0053</t>
        </is>
      </c>
      <c r="B116" t="inlineStr">
        <is>
          <t>Lake Autohaus 053</t>
        </is>
      </c>
      <c r="C116" t="inlineStr">
        <is>
          <t>Lake Geneva</t>
        </is>
      </c>
      <c r="D116" t="n">
        <v>2244</v>
      </c>
      <c r="E116" t="n">
        <v>89</v>
      </c>
      <c r="F116" s="12">
        <f>IFERROR(E116/D116,0)</f>
        <v/>
      </c>
      <c r="G116" s="16" t="n">
        <v>12.830258467</v>
      </c>
      <c r="H116" s="12" t="n">
        <v>0.911038057</v>
      </c>
      <c r="I116" s="15" t="n">
        <v>1419356.76</v>
      </c>
      <c r="J116">
        <f>IF(D116&gt;=250,"Yes","No")</f>
        <v/>
      </c>
      <c r="K116">
        <f>IF(J116="Yes",RANK.EQ(F116,$F$5:$F$154,0),NA())</f>
        <v/>
      </c>
    </row>
    <row r="117">
      <c r="A117" t="inlineStr">
        <is>
          <t>D0034</t>
        </is>
      </c>
      <c r="B117" t="inlineStr">
        <is>
          <t>Espace Autohaus 034</t>
        </is>
      </c>
      <c r="C117" t="inlineStr">
        <is>
          <t>Espace Mittelland</t>
        </is>
      </c>
      <c r="D117" t="n">
        <v>2331</v>
      </c>
      <c r="E117" t="n">
        <v>91</v>
      </c>
      <c r="F117" s="12">
        <f>IFERROR(E117/D117,0)</f>
        <v/>
      </c>
      <c r="G117" s="16" t="n">
        <v>11.3587644788</v>
      </c>
      <c r="H117" s="12" t="n">
        <v>0.9092336336</v>
      </c>
      <c r="I117" s="15" t="n">
        <v>1586644.53</v>
      </c>
      <c r="J117">
        <f>IF(D117&gt;=250,"Yes","No")</f>
        <v/>
      </c>
      <c r="K117">
        <f>IF(J117="Yes",RANK.EQ(F117,$F$5:$F$154,0),NA())</f>
        <v/>
      </c>
    </row>
    <row r="118">
      <c r="A118" t="inlineStr">
        <is>
          <t>D0015</t>
        </is>
      </c>
      <c r="B118" t="inlineStr">
        <is>
          <t>Lake Autohaus 015</t>
        </is>
      </c>
      <c r="C118" t="inlineStr">
        <is>
          <t>Lake Geneva</t>
        </is>
      </c>
      <c r="D118" t="n">
        <v>2298</v>
      </c>
      <c r="E118" t="n">
        <v>89</v>
      </c>
      <c r="F118" s="12">
        <f>IFERROR(E118/D118,0)</f>
        <v/>
      </c>
      <c r="G118" s="16" t="n">
        <v>15.7796562228</v>
      </c>
      <c r="H118" s="12" t="n">
        <v>0.8987543515999999</v>
      </c>
      <c r="I118" s="15" t="n">
        <v>1724431.36</v>
      </c>
      <c r="J118">
        <f>IF(D118&gt;=250,"Yes","No")</f>
        <v/>
      </c>
      <c r="K118">
        <f>IF(J118="Yes",RANK.EQ(F118,$F$5:$F$154,0),NA())</f>
        <v/>
      </c>
    </row>
    <row r="119">
      <c r="A119" t="inlineStr">
        <is>
          <t>D0112</t>
        </is>
      </c>
      <c r="B119" t="inlineStr">
        <is>
          <t>Lake Autohaus 112</t>
        </is>
      </c>
      <c r="C119" t="inlineStr">
        <is>
          <t>Lake Geneva</t>
        </is>
      </c>
      <c r="D119" t="n">
        <v>2258</v>
      </c>
      <c r="E119" t="n">
        <v>85</v>
      </c>
      <c r="F119" s="12">
        <f>IFERROR(E119/D119,0)</f>
        <v/>
      </c>
      <c r="G119" s="16" t="n">
        <v>12.4612931798</v>
      </c>
      <c r="H119" s="12" t="n">
        <v>0.8859136404</v>
      </c>
      <c r="I119" s="15" t="n">
        <v>1352983.25</v>
      </c>
      <c r="J119">
        <f>IF(D119&gt;=250,"Yes","No")</f>
        <v/>
      </c>
      <c r="K119">
        <f>IF(J119="Yes",RANK.EQ(F119,$F$5:$F$154,0),NA())</f>
        <v/>
      </c>
    </row>
    <row r="120">
      <c r="A120" t="inlineStr">
        <is>
          <t>D0054</t>
        </is>
      </c>
      <c r="B120" t="inlineStr">
        <is>
          <t>Central Autohaus 054</t>
        </is>
      </c>
      <c r="C120" t="inlineStr">
        <is>
          <t>Central Switzerland</t>
        </is>
      </c>
      <c r="D120" t="n">
        <v>2240</v>
      </c>
      <c r="E120" t="n">
        <v>83</v>
      </c>
      <c r="F120" s="12">
        <f>IFERROR(E120/D120,0)</f>
        <v/>
      </c>
      <c r="G120" s="16" t="n">
        <v>7.5057678571</v>
      </c>
      <c r="H120" s="12" t="n">
        <v>0.9017601339</v>
      </c>
      <c r="I120" s="15" t="n">
        <v>1419689.64</v>
      </c>
      <c r="J120">
        <f>IF(D120&gt;=250,"Yes","No")</f>
        <v/>
      </c>
      <c r="K120">
        <f>IF(J120="Yes",RANK.EQ(F120,$F$5:$F$154,0),NA())</f>
        <v/>
      </c>
    </row>
    <row r="121">
      <c r="A121" t="inlineStr">
        <is>
          <t>D0031</t>
        </is>
      </c>
      <c r="B121" t="inlineStr">
        <is>
          <t>Central Autohaus 031</t>
        </is>
      </c>
      <c r="C121" t="inlineStr">
        <is>
          <t>Central Switzerland</t>
        </is>
      </c>
      <c r="D121" t="n">
        <v>2313</v>
      </c>
      <c r="E121" t="n">
        <v>84</v>
      </c>
      <c r="F121" s="12">
        <f>IFERROR(E121/D121,0)</f>
        <v/>
      </c>
      <c r="G121" s="16" t="n">
        <v>7.5994033722</v>
      </c>
      <c r="H121" s="12" t="n">
        <v>0.8990200605000001</v>
      </c>
      <c r="I121" s="15" t="n">
        <v>1224713.75</v>
      </c>
      <c r="J121">
        <f>IF(D121&gt;=250,"Yes","No")</f>
        <v/>
      </c>
      <c r="K121">
        <f>IF(J121="Yes",RANK.EQ(F121,$F$5:$F$154,0),NA())</f>
        <v/>
      </c>
    </row>
    <row r="122">
      <c r="A122" t="inlineStr">
        <is>
          <t>D0011</t>
        </is>
      </c>
      <c r="B122" t="inlineStr">
        <is>
          <t>Lake Autohaus 011</t>
        </is>
      </c>
      <c r="C122" t="inlineStr">
        <is>
          <t>Lake Geneva</t>
        </is>
      </c>
      <c r="D122" t="n">
        <v>2408</v>
      </c>
      <c r="E122" t="n">
        <v>86</v>
      </c>
      <c r="F122" s="12">
        <f>IFERROR(E122/D122,0)</f>
        <v/>
      </c>
      <c r="G122" s="16" t="n">
        <v>6.7545598007</v>
      </c>
      <c r="H122" s="12" t="n">
        <v>0.8930938123</v>
      </c>
      <c r="I122" s="15" t="n">
        <v>1370664.96</v>
      </c>
      <c r="J122">
        <f>IF(D122&gt;=250,"Yes","No")</f>
        <v/>
      </c>
      <c r="K122">
        <f>IF(J122="Yes",RANK.EQ(F122,$F$5:$F$154,0),NA())</f>
        <v/>
      </c>
    </row>
    <row r="123">
      <c r="A123" t="inlineStr">
        <is>
          <t>D0116</t>
        </is>
      </c>
      <c r="B123" t="inlineStr">
        <is>
          <t>Eastern Autohaus 116</t>
        </is>
      </c>
      <c r="C123" t="inlineStr">
        <is>
          <t>Eastern Switzerland</t>
        </is>
      </c>
      <c r="D123" t="n">
        <v>2237</v>
      </c>
      <c r="E123" t="n">
        <v>75</v>
      </c>
      <c r="F123" s="12">
        <f>IFERROR(E123/D123,0)</f>
        <v/>
      </c>
      <c r="G123" s="16" t="n">
        <v>15.5200894055</v>
      </c>
      <c r="H123" s="12" t="n">
        <v>0.932438489</v>
      </c>
      <c r="I123" s="15" t="n">
        <v>1231962.62</v>
      </c>
      <c r="J123">
        <f>IF(D123&gt;=250,"Yes","No")</f>
        <v/>
      </c>
      <c r="K123">
        <f>IF(J123="Yes",RANK.EQ(F123,$F$5:$F$154,0),NA())</f>
        <v/>
      </c>
    </row>
    <row r="124">
      <c r="A124" t="inlineStr">
        <is>
          <t>D0046</t>
        </is>
      </c>
      <c r="B124" t="inlineStr">
        <is>
          <t>Northwestern Autohaus 046</t>
        </is>
      </c>
      <c r="C124" t="inlineStr">
        <is>
          <t>Northwestern Switzerland</t>
        </is>
      </c>
      <c r="D124" t="n">
        <v>2300</v>
      </c>
      <c r="E124" t="n">
        <v>77</v>
      </c>
      <c r="F124" s="12">
        <f>IFERROR(E124/D124,0)</f>
        <v/>
      </c>
      <c r="G124" s="16" t="n">
        <v>7.2889434783</v>
      </c>
      <c r="H124" s="12" t="n">
        <v>0.8764183913</v>
      </c>
      <c r="I124" s="15" t="n">
        <v>1190596.42</v>
      </c>
      <c r="J124">
        <f>IF(D124&gt;=250,"Yes","No")</f>
        <v/>
      </c>
      <c r="K124">
        <f>IF(J124="Yes",RANK.EQ(F124,$F$5:$F$154,0),NA())</f>
        <v/>
      </c>
    </row>
    <row r="125">
      <c r="A125" t="inlineStr">
        <is>
          <t>D0091</t>
        </is>
      </c>
      <c r="B125" t="inlineStr">
        <is>
          <t>Northwestern Autohaus 091</t>
        </is>
      </c>
      <c r="C125" t="inlineStr">
        <is>
          <t>Northwestern Switzerland</t>
        </is>
      </c>
      <c r="D125" t="n">
        <v>2299</v>
      </c>
      <c r="E125" t="n">
        <v>75</v>
      </c>
      <c r="F125" s="12">
        <f>IFERROR(E125/D125,0)</f>
        <v/>
      </c>
      <c r="G125" s="16" t="n">
        <v>14.3548673336</v>
      </c>
      <c r="H125" s="12" t="n">
        <v>0.9029570248</v>
      </c>
      <c r="I125" s="15" t="n">
        <v>1185456.32</v>
      </c>
      <c r="J125">
        <f>IF(D125&gt;=250,"Yes","No")</f>
        <v/>
      </c>
      <c r="K125">
        <f>IF(J125="Yes",RANK.EQ(F125,$F$5:$F$154,0),NA())</f>
        <v/>
      </c>
    </row>
    <row r="126">
      <c r="A126" t="inlineStr">
        <is>
          <t>D0009</t>
        </is>
      </c>
      <c r="B126" t="inlineStr">
        <is>
          <t>Eastern Autohaus 009</t>
        </is>
      </c>
      <c r="C126" t="inlineStr">
        <is>
          <t>Eastern Switzerland</t>
        </is>
      </c>
      <c r="D126" t="n">
        <v>2275</v>
      </c>
      <c r="E126" t="n">
        <v>74</v>
      </c>
      <c r="F126" s="12">
        <f>IFERROR(E126/D126,0)</f>
        <v/>
      </c>
      <c r="G126" s="16" t="n">
        <v>12.5231736264</v>
      </c>
      <c r="H126" s="12" t="n">
        <v>0.9135407912</v>
      </c>
      <c r="I126" s="15" t="n">
        <v>1141759.94</v>
      </c>
      <c r="J126">
        <f>IF(D126&gt;=250,"Yes","No")</f>
        <v/>
      </c>
      <c r="K126">
        <f>IF(J126="Yes",RANK.EQ(F126,$F$5:$F$154,0),NA())</f>
        <v/>
      </c>
    </row>
    <row r="127">
      <c r="A127" t="inlineStr">
        <is>
          <t>D0010</t>
        </is>
      </c>
      <c r="B127" t="inlineStr">
        <is>
          <t>Lake Autohaus 010</t>
        </is>
      </c>
      <c r="C127" t="inlineStr">
        <is>
          <t>Lake Geneva</t>
        </is>
      </c>
      <c r="D127" t="n">
        <v>2243</v>
      </c>
      <c r="E127" t="n">
        <v>72</v>
      </c>
      <c r="F127" s="12">
        <f>IFERROR(E127/D127,0)</f>
        <v/>
      </c>
      <c r="G127" s="16" t="n">
        <v>11.0670441373</v>
      </c>
      <c r="H127" s="12" t="n">
        <v>0.8908452519</v>
      </c>
      <c r="I127" s="15" t="n">
        <v>1207391.3</v>
      </c>
      <c r="J127">
        <f>IF(D127&gt;=250,"Yes","No")</f>
        <v/>
      </c>
      <c r="K127">
        <f>IF(J127="Yes",RANK.EQ(F127,$F$5:$F$154,0),NA())</f>
        <v/>
      </c>
    </row>
    <row r="128">
      <c r="A128" t="inlineStr">
        <is>
          <t>D0064</t>
        </is>
      </c>
      <c r="B128" t="inlineStr">
        <is>
          <t>Northwestern Autohaus 064</t>
        </is>
      </c>
      <c r="C128" t="inlineStr">
        <is>
          <t>Northwestern Switzerland</t>
        </is>
      </c>
      <c r="D128" t="n">
        <v>2310</v>
      </c>
      <c r="E128" t="n">
        <v>73</v>
      </c>
      <c r="F128" s="12">
        <f>IFERROR(E128/D128,0)</f>
        <v/>
      </c>
      <c r="G128" s="16" t="n">
        <v>13.0111341991</v>
      </c>
      <c r="H128" s="12" t="n">
        <v>0.8993318615</v>
      </c>
      <c r="I128" s="15" t="n">
        <v>1387782.89</v>
      </c>
      <c r="J128">
        <f>IF(D128&gt;=250,"Yes","No")</f>
        <v/>
      </c>
      <c r="K128">
        <f>IF(J128="Yes",RANK.EQ(F128,$F$5:$F$154,0),NA())</f>
        <v/>
      </c>
    </row>
    <row r="129">
      <c r="A129" t="inlineStr">
        <is>
          <t>D0017</t>
        </is>
      </c>
      <c r="B129" t="inlineStr">
        <is>
          <t>Central Autohaus 017</t>
        </is>
      </c>
      <c r="C129" t="inlineStr">
        <is>
          <t>Central Switzerland</t>
        </is>
      </c>
      <c r="D129" t="n">
        <v>2223</v>
      </c>
      <c r="E129" t="n">
        <v>67</v>
      </c>
      <c r="F129" s="12">
        <f>IFERROR(E129/D129,0)</f>
        <v/>
      </c>
      <c r="G129" s="16" t="n">
        <v>14.3952991453</v>
      </c>
      <c r="H129" s="12" t="n">
        <v>0.8987461089</v>
      </c>
      <c r="I129" s="15" t="n">
        <v>1206331.22</v>
      </c>
      <c r="J129">
        <f>IF(D129&gt;=250,"Yes","No")</f>
        <v/>
      </c>
      <c r="K129">
        <f>IF(J129="Yes",RANK.EQ(F129,$F$5:$F$154,0),NA())</f>
        <v/>
      </c>
    </row>
    <row r="130">
      <c r="A130" t="inlineStr">
        <is>
          <t>D0071</t>
        </is>
      </c>
      <c r="B130" t="inlineStr">
        <is>
          <t>Eastern Autohaus 071</t>
        </is>
      </c>
      <c r="C130" t="inlineStr">
        <is>
          <t>Eastern Switzerland</t>
        </is>
      </c>
      <c r="D130" t="n">
        <v>2310</v>
      </c>
      <c r="E130" t="n">
        <v>69</v>
      </c>
      <c r="F130" s="12">
        <f>IFERROR(E130/D130,0)</f>
        <v/>
      </c>
      <c r="G130" s="16" t="n">
        <v>25.1525670996</v>
      </c>
      <c r="H130" s="12" t="n">
        <v>0.9154233765999999</v>
      </c>
      <c r="I130" s="15" t="n">
        <v>1231122.06</v>
      </c>
      <c r="J130">
        <f>IF(D130&gt;=250,"Yes","No")</f>
        <v/>
      </c>
      <c r="K130">
        <f>IF(J130="Yes",RANK.EQ(F130,$F$5:$F$154,0),NA())</f>
        <v/>
      </c>
    </row>
    <row r="131">
      <c r="A131" t="inlineStr">
        <is>
          <t>D0093</t>
        </is>
      </c>
      <c r="B131" t="inlineStr">
        <is>
          <t>Central Autohaus 093</t>
        </is>
      </c>
      <c r="C131" t="inlineStr">
        <is>
          <t>Central Switzerland</t>
        </is>
      </c>
      <c r="D131" t="n">
        <v>2248</v>
      </c>
      <c r="E131" t="n">
        <v>67</v>
      </c>
      <c r="F131" s="12">
        <f>IFERROR(E131/D131,0)</f>
        <v/>
      </c>
      <c r="G131" s="16" t="n">
        <v>13.6346352313</v>
      </c>
      <c r="H131" s="12" t="n">
        <v>0.89811379</v>
      </c>
      <c r="I131" s="15" t="n">
        <v>984135.0700000001</v>
      </c>
      <c r="J131">
        <f>IF(D131&gt;=250,"Yes","No")</f>
        <v/>
      </c>
      <c r="K131">
        <f>IF(J131="Yes",RANK.EQ(F131,$F$5:$F$154,0),NA())</f>
        <v/>
      </c>
    </row>
    <row r="132">
      <c r="A132" t="inlineStr">
        <is>
          <t>D0144</t>
        </is>
      </c>
      <c r="B132" t="inlineStr">
        <is>
          <t>Ticino Autohaus 144</t>
        </is>
      </c>
      <c r="C132" t="inlineStr">
        <is>
          <t>Ticino</t>
        </is>
      </c>
      <c r="D132" t="n">
        <v>2245</v>
      </c>
      <c r="E132" t="n">
        <v>64</v>
      </c>
      <c r="F132" s="12">
        <f>IFERROR(E132/D132,0)</f>
        <v/>
      </c>
      <c r="G132" s="16" t="n">
        <v>14.9015233853</v>
      </c>
      <c r="H132" s="12" t="n">
        <v>0.8797670379</v>
      </c>
      <c r="I132" s="15" t="n">
        <v>1181740.87</v>
      </c>
      <c r="J132">
        <f>IF(D132&gt;=250,"Yes","No")</f>
        <v/>
      </c>
      <c r="K132">
        <f>IF(J132="Yes",RANK.EQ(F132,$F$5:$F$154,0),NA())</f>
        <v/>
      </c>
    </row>
    <row r="133">
      <c r="A133" t="inlineStr">
        <is>
          <t>D0039</t>
        </is>
      </c>
      <c r="B133" t="inlineStr">
        <is>
          <t>Central Autohaus 039</t>
        </is>
      </c>
      <c r="C133" t="inlineStr">
        <is>
          <t>Central Switzerland</t>
        </is>
      </c>
      <c r="D133" t="n">
        <v>2320</v>
      </c>
      <c r="E133" t="n">
        <v>62</v>
      </c>
      <c r="F133" s="12">
        <f>IFERROR(E133/D133,0)</f>
        <v/>
      </c>
      <c r="G133" s="16" t="n">
        <v>13.9654913793</v>
      </c>
      <c r="H133" s="12" t="n">
        <v>0.8908313793</v>
      </c>
      <c r="I133" s="15" t="n">
        <v>906060.1900000001</v>
      </c>
      <c r="J133">
        <f>IF(D133&gt;=250,"Yes","No")</f>
        <v/>
      </c>
      <c r="K133">
        <f>IF(J133="Yes",RANK.EQ(F133,$F$5:$F$154,0),NA())</f>
        <v/>
      </c>
    </row>
    <row r="134">
      <c r="A134" t="inlineStr">
        <is>
          <t>D0102</t>
        </is>
      </c>
      <c r="B134" t="inlineStr">
        <is>
          <t>Central Autohaus 102</t>
        </is>
      </c>
      <c r="C134" t="inlineStr">
        <is>
          <t>Central Switzerland</t>
        </is>
      </c>
      <c r="D134" t="n">
        <v>2299</v>
      </c>
      <c r="E134" t="n">
        <v>61</v>
      </c>
      <c r="F134" s="12">
        <f>IFERROR(E134/D134,0)</f>
        <v/>
      </c>
      <c r="G134" s="16" t="n">
        <v>10.9360939539</v>
      </c>
      <c r="H134" s="12" t="n">
        <v>0.8816814702</v>
      </c>
      <c r="I134" s="15" t="n">
        <v>950250.51</v>
      </c>
      <c r="J134">
        <f>IF(D134&gt;=250,"Yes","No")</f>
        <v/>
      </c>
      <c r="K134">
        <f>IF(J134="Yes",RANK.EQ(F134,$F$5:$F$154,0),NA())</f>
        <v/>
      </c>
    </row>
    <row r="135">
      <c r="A135" t="inlineStr">
        <is>
          <t>D0038</t>
        </is>
      </c>
      <c r="B135" t="inlineStr">
        <is>
          <t>Lake Autohaus 038</t>
        </is>
      </c>
      <c r="C135" t="inlineStr">
        <is>
          <t>Lake Geneva</t>
        </is>
      </c>
      <c r="D135" t="n">
        <v>2282</v>
      </c>
      <c r="E135" t="n">
        <v>59</v>
      </c>
      <c r="F135" s="12">
        <f>IFERROR(E135/D135,0)</f>
        <v/>
      </c>
      <c r="G135" s="16" t="n">
        <v>12.3598028046</v>
      </c>
      <c r="H135" s="12" t="n">
        <v>0.9004524978</v>
      </c>
      <c r="I135" s="15" t="n">
        <v>973544.03</v>
      </c>
      <c r="J135">
        <f>IF(D135&gt;=250,"Yes","No")</f>
        <v/>
      </c>
      <c r="K135">
        <f>IF(J135="Yes",RANK.EQ(F135,$F$5:$F$154,0),NA())</f>
        <v/>
      </c>
    </row>
    <row r="136">
      <c r="A136" t="inlineStr">
        <is>
          <t>D0089</t>
        </is>
      </c>
      <c r="B136" t="inlineStr">
        <is>
          <t>Central Autohaus 089</t>
        </is>
      </c>
      <c r="C136" t="inlineStr">
        <is>
          <t>Central Switzerland</t>
        </is>
      </c>
      <c r="D136" t="n">
        <v>2286</v>
      </c>
      <c r="E136" t="n">
        <v>57</v>
      </c>
      <c r="F136" s="12">
        <f>IFERROR(E136/D136,0)</f>
        <v/>
      </c>
      <c r="G136" s="16" t="n">
        <v>11.6905949256</v>
      </c>
      <c r="H136" s="12" t="n">
        <v>0.8971945319</v>
      </c>
      <c r="I136" s="15" t="n">
        <v>952069.35</v>
      </c>
      <c r="J136">
        <f>IF(D136&gt;=250,"Yes","No")</f>
        <v/>
      </c>
      <c r="K136">
        <f>IF(J136="Yes",RANK.EQ(F136,$F$5:$F$154,0),NA())</f>
        <v/>
      </c>
    </row>
    <row r="137">
      <c r="A137" t="inlineStr">
        <is>
          <t>D0032</t>
        </is>
      </c>
      <c r="B137" t="inlineStr">
        <is>
          <t>Central Autohaus 032</t>
        </is>
      </c>
      <c r="C137" t="inlineStr">
        <is>
          <t>Central Switzerland</t>
        </is>
      </c>
      <c r="D137" t="n">
        <v>2296</v>
      </c>
      <c r="E137" t="n">
        <v>55</v>
      </c>
      <c r="F137" s="12">
        <f>IFERROR(E137/D137,0)</f>
        <v/>
      </c>
      <c r="G137" s="16" t="n">
        <v>10.7424912892</v>
      </c>
      <c r="H137" s="12" t="n">
        <v>0.8881368031</v>
      </c>
      <c r="I137" s="15" t="n">
        <v>840239.96</v>
      </c>
      <c r="J137">
        <f>IF(D137&gt;=250,"Yes","No")</f>
        <v/>
      </c>
      <c r="K137">
        <f>IF(J137="Yes",RANK.EQ(F137,$F$5:$F$154,0),NA())</f>
        <v/>
      </c>
    </row>
    <row r="138">
      <c r="A138" t="inlineStr">
        <is>
          <t>D0055</t>
        </is>
      </c>
      <c r="B138" t="inlineStr">
        <is>
          <t>Zurich Autohaus 055</t>
        </is>
      </c>
      <c r="C138" t="inlineStr">
        <is>
          <t>Zurich</t>
        </is>
      </c>
      <c r="D138" t="n">
        <v>2313</v>
      </c>
      <c r="E138" t="n">
        <v>52</v>
      </c>
      <c r="F138" s="12">
        <f>IFERROR(E138/D138,0)</f>
        <v/>
      </c>
      <c r="G138" s="16" t="n">
        <v>10.1667228707</v>
      </c>
      <c r="H138" s="12" t="n">
        <v>0.8953553826</v>
      </c>
      <c r="I138" s="15" t="n">
        <v>676173.17</v>
      </c>
      <c r="J138">
        <f>IF(D138&gt;=250,"Yes","No")</f>
        <v/>
      </c>
      <c r="K138">
        <f>IF(J138="Yes",RANK.EQ(F138,$F$5:$F$154,0),NA())</f>
        <v/>
      </c>
    </row>
    <row r="139">
      <c r="A139" t="inlineStr">
        <is>
          <t>D0095</t>
        </is>
      </c>
      <c r="B139" t="inlineStr">
        <is>
          <t>Central Autohaus 095</t>
        </is>
      </c>
      <c r="C139" t="inlineStr">
        <is>
          <t>Central Switzerland</t>
        </is>
      </c>
      <c r="D139" t="n">
        <v>2262</v>
      </c>
      <c r="E139" t="n">
        <v>50</v>
      </c>
      <c r="F139" s="12">
        <f>IFERROR(E139/D139,0)</f>
        <v/>
      </c>
      <c r="G139" s="16" t="n">
        <v>16.8055083996</v>
      </c>
      <c r="H139" s="12" t="n">
        <v>0.9018653404</v>
      </c>
      <c r="I139" s="15" t="n">
        <v>947820.6</v>
      </c>
      <c r="J139">
        <f>IF(D139&gt;=250,"Yes","No")</f>
        <v/>
      </c>
      <c r="K139">
        <f>IF(J139="Yes",RANK.EQ(F139,$F$5:$F$154,0),NA())</f>
        <v/>
      </c>
    </row>
    <row r="140">
      <c r="A140" t="inlineStr">
        <is>
          <t>D0150</t>
        </is>
      </c>
      <c r="B140" t="inlineStr">
        <is>
          <t>Lake Autohaus 150</t>
        </is>
      </c>
      <c r="C140" t="inlineStr">
        <is>
          <t>Lake Geneva</t>
        </is>
      </c>
      <c r="D140" t="n">
        <v>2271</v>
      </c>
      <c r="E140" t="n">
        <v>49</v>
      </c>
      <c r="F140" s="12">
        <f>IFERROR(E140/D140,0)</f>
        <v/>
      </c>
      <c r="G140" s="16" t="n">
        <v>13.3986085425</v>
      </c>
      <c r="H140" s="12" t="n">
        <v>0.8867785557</v>
      </c>
      <c r="I140" s="15" t="n">
        <v>781669.36</v>
      </c>
      <c r="J140">
        <f>IF(D140&gt;=250,"Yes","No")</f>
        <v/>
      </c>
      <c r="K140">
        <f>IF(J140="Yes",RANK.EQ(F140,$F$5:$F$154,0),NA())</f>
        <v/>
      </c>
    </row>
    <row r="141">
      <c r="A141" t="inlineStr">
        <is>
          <t>D0066</t>
        </is>
      </c>
      <c r="B141" t="inlineStr">
        <is>
          <t>Lake Autohaus 066</t>
        </is>
      </c>
      <c r="C141" t="inlineStr">
        <is>
          <t>Lake Geneva</t>
        </is>
      </c>
      <c r="D141" t="n">
        <v>2301</v>
      </c>
      <c r="E141" t="n">
        <v>48</v>
      </c>
      <c r="F141" s="12">
        <f>IFERROR(E141/D141,0)</f>
        <v/>
      </c>
      <c r="G141" s="16" t="n">
        <v>10.7505693177</v>
      </c>
      <c r="H141" s="12" t="n">
        <v>0.8824035202</v>
      </c>
      <c r="I141" s="15" t="n">
        <v>628480.54</v>
      </c>
      <c r="J141">
        <f>IF(D141&gt;=250,"Yes","No")</f>
        <v/>
      </c>
      <c r="K141">
        <f>IF(J141="Yes",RANK.EQ(F141,$F$5:$F$154,0),NA())</f>
        <v/>
      </c>
    </row>
    <row r="142">
      <c r="A142" t="inlineStr">
        <is>
          <t>D0127</t>
        </is>
      </c>
      <c r="B142" t="inlineStr">
        <is>
          <t>Central Autohaus 127</t>
        </is>
      </c>
      <c r="C142" t="inlineStr">
        <is>
          <t>Central Switzerland</t>
        </is>
      </c>
      <c r="D142" t="n">
        <v>2349</v>
      </c>
      <c r="E142" t="n">
        <v>49</v>
      </c>
      <c r="F142" s="12">
        <f>IFERROR(E142/D142,0)</f>
        <v/>
      </c>
      <c r="G142" s="16" t="n">
        <v>7.272899106</v>
      </c>
      <c r="H142" s="12" t="n">
        <v>0.8686778629</v>
      </c>
      <c r="I142" s="15" t="n">
        <v>688951.59</v>
      </c>
      <c r="J142">
        <f>IF(D142&gt;=250,"Yes","No")</f>
        <v/>
      </c>
      <c r="K142">
        <f>IF(J142="Yes",RANK.EQ(F142,$F$5:$F$154,0),NA())</f>
        <v/>
      </c>
    </row>
    <row r="143">
      <c r="A143" t="inlineStr">
        <is>
          <t>D0074</t>
        </is>
      </c>
      <c r="B143" t="inlineStr">
        <is>
          <t>Eastern Autohaus 074</t>
        </is>
      </c>
      <c r="C143" t="inlineStr">
        <is>
          <t>Eastern Switzerland</t>
        </is>
      </c>
      <c r="D143" t="n">
        <v>2262</v>
      </c>
      <c r="E143" t="n">
        <v>43</v>
      </c>
      <c r="F143" s="12">
        <f>IFERROR(E143/D143,0)</f>
        <v/>
      </c>
      <c r="G143" s="16" t="n">
        <v>14.3681255526</v>
      </c>
      <c r="H143" s="12" t="n">
        <v>0.8770673298</v>
      </c>
      <c r="I143" s="15" t="n">
        <v>685398.09</v>
      </c>
      <c r="J143">
        <f>IF(D143&gt;=250,"Yes","No")</f>
        <v/>
      </c>
      <c r="K143">
        <f>IF(J143="Yes",RANK.EQ(F143,$F$5:$F$154,0),NA())</f>
        <v/>
      </c>
    </row>
    <row r="144">
      <c r="A144" t="inlineStr">
        <is>
          <t>D0043</t>
        </is>
      </c>
      <c r="B144" t="inlineStr">
        <is>
          <t>Central Autohaus 043</t>
        </is>
      </c>
      <c r="C144" t="inlineStr">
        <is>
          <t>Central Switzerland</t>
        </is>
      </c>
      <c r="D144" t="n">
        <v>2258</v>
      </c>
      <c r="E144" t="n">
        <v>42</v>
      </c>
      <c r="F144" s="12">
        <f>IFERROR(E144/D144,0)</f>
        <v/>
      </c>
      <c r="G144" s="16" t="n">
        <v>13.4309743136</v>
      </c>
      <c r="H144" s="12" t="n">
        <v>0.8791212578000001</v>
      </c>
      <c r="I144" s="15" t="n">
        <v>629590.8</v>
      </c>
      <c r="J144">
        <f>IF(D144&gt;=250,"Yes","No")</f>
        <v/>
      </c>
      <c r="K144">
        <f>IF(J144="Yes",RANK.EQ(F144,$F$5:$F$154,0),NA())</f>
        <v/>
      </c>
    </row>
    <row r="145">
      <c r="A145" t="inlineStr">
        <is>
          <t>D0125</t>
        </is>
      </c>
      <c r="B145" t="inlineStr">
        <is>
          <t>Ticino Autohaus 125</t>
        </is>
      </c>
      <c r="C145" t="inlineStr">
        <is>
          <t>Ticino</t>
        </is>
      </c>
      <c r="D145" t="n">
        <v>2239</v>
      </c>
      <c r="E145" t="n">
        <v>41</v>
      </c>
      <c r="F145" s="12">
        <f>IFERROR(E145/D145,0)</f>
        <v/>
      </c>
      <c r="G145" s="16" t="n">
        <v>20.5578249218</v>
      </c>
      <c r="H145" s="12" t="n">
        <v>0.9018971862</v>
      </c>
      <c r="I145" s="15" t="n">
        <v>602564.65</v>
      </c>
      <c r="J145">
        <f>IF(D145&gt;=250,"Yes","No")</f>
        <v/>
      </c>
      <c r="K145">
        <f>IF(J145="Yes",RANK.EQ(F145,$F$5:$F$154,0),NA())</f>
        <v/>
      </c>
    </row>
    <row r="146">
      <c r="A146" t="inlineStr">
        <is>
          <t>D0004</t>
        </is>
      </c>
      <c r="B146" t="inlineStr">
        <is>
          <t>Eastern Autohaus 004</t>
        </is>
      </c>
      <c r="C146" t="inlineStr">
        <is>
          <t>Eastern Switzerland</t>
        </is>
      </c>
      <c r="D146" t="n">
        <v>2299</v>
      </c>
      <c r="E146" t="n">
        <v>42</v>
      </c>
      <c r="F146" s="12">
        <f>IFERROR(E146/D146,0)</f>
        <v/>
      </c>
      <c r="G146" s="16" t="n">
        <v>10.0580208786</v>
      </c>
      <c r="H146" s="12" t="n">
        <v>0.8742648978000001</v>
      </c>
      <c r="I146" s="15" t="n">
        <v>598868.98</v>
      </c>
      <c r="J146">
        <f>IF(D146&gt;=250,"Yes","No")</f>
        <v/>
      </c>
      <c r="K146">
        <f>IF(J146="Yes",RANK.EQ(F146,$F$5:$F$154,0),NA())</f>
        <v/>
      </c>
    </row>
    <row r="147">
      <c r="A147" t="inlineStr">
        <is>
          <t>D0080</t>
        </is>
      </c>
      <c r="B147" t="inlineStr">
        <is>
          <t>Eastern Autohaus 080</t>
        </is>
      </c>
      <c r="C147" t="inlineStr">
        <is>
          <t>Eastern Switzerland</t>
        </is>
      </c>
      <c r="D147" t="n">
        <v>2331</v>
      </c>
      <c r="E147" t="n">
        <v>42</v>
      </c>
      <c r="F147" s="12">
        <f>IFERROR(E147/D147,0)</f>
        <v/>
      </c>
      <c r="G147" s="16" t="n">
        <v>17.1713813814</v>
      </c>
      <c r="H147" s="12" t="n">
        <v>0.8875585157</v>
      </c>
      <c r="I147" s="15" t="n">
        <v>700001.36</v>
      </c>
      <c r="J147">
        <f>IF(D147&gt;=250,"Yes","No")</f>
        <v/>
      </c>
      <c r="K147">
        <f>IF(J147="Yes",RANK.EQ(F147,$F$5:$F$154,0),NA())</f>
        <v/>
      </c>
    </row>
    <row r="148">
      <c r="A148" t="inlineStr">
        <is>
          <t>D0115</t>
        </is>
      </c>
      <c r="B148" t="inlineStr">
        <is>
          <t>Zurich Autohaus 115</t>
        </is>
      </c>
      <c r="C148" t="inlineStr">
        <is>
          <t>Zurich</t>
        </is>
      </c>
      <c r="D148" t="n">
        <v>2219</v>
      </c>
      <c r="E148" t="n">
        <v>34</v>
      </c>
      <c r="F148" s="12">
        <f>IFERROR(E148/D148,0)</f>
        <v/>
      </c>
      <c r="G148" s="16" t="n">
        <v>7.4863001352</v>
      </c>
      <c r="H148" s="12" t="n">
        <v>0.886788283</v>
      </c>
      <c r="I148" s="15" t="n">
        <v>505465.62</v>
      </c>
      <c r="J148">
        <f>IF(D148&gt;=250,"Yes","No")</f>
        <v/>
      </c>
      <c r="K148">
        <f>IF(J148="Yes",RANK.EQ(F148,$F$5:$F$154,0),NA())</f>
        <v/>
      </c>
    </row>
    <row r="149">
      <c r="A149" t="inlineStr">
        <is>
          <t>D0002</t>
        </is>
      </c>
      <c r="B149" t="inlineStr">
        <is>
          <t>Lake Autohaus 002</t>
        </is>
      </c>
      <c r="C149" t="inlineStr">
        <is>
          <t>Lake Geneva</t>
        </is>
      </c>
      <c r="D149" t="n">
        <v>2373</v>
      </c>
      <c r="E149" t="n">
        <v>36</v>
      </c>
      <c r="F149" s="12">
        <f>IFERROR(E149/D149,0)</f>
        <v/>
      </c>
      <c r="G149" s="16" t="n">
        <v>9.957155499400001</v>
      </c>
      <c r="H149" s="12" t="n">
        <v>0.884646102</v>
      </c>
      <c r="I149" s="15" t="n">
        <v>528000.6</v>
      </c>
      <c r="J149">
        <f>IF(D149&gt;=250,"Yes","No")</f>
        <v/>
      </c>
      <c r="K149">
        <f>IF(J149="Yes",RANK.EQ(F149,$F$5:$F$154,0),NA())</f>
        <v/>
      </c>
    </row>
    <row r="150">
      <c r="A150" t="inlineStr">
        <is>
          <t>D0079</t>
        </is>
      </c>
      <c r="B150" t="inlineStr">
        <is>
          <t>Lake Autohaus 079</t>
        </is>
      </c>
      <c r="C150" t="inlineStr">
        <is>
          <t>Lake Geneva</t>
        </is>
      </c>
      <c r="D150" t="n">
        <v>2277</v>
      </c>
      <c r="E150" t="n">
        <v>31</v>
      </c>
      <c r="F150" s="12">
        <f>IFERROR(E150/D150,0)</f>
        <v/>
      </c>
      <c r="G150" s="16" t="n">
        <v>11.697790953</v>
      </c>
      <c r="H150" s="12" t="n">
        <v>0.8768034256</v>
      </c>
      <c r="I150" s="15" t="n">
        <v>480751.84</v>
      </c>
      <c r="J150">
        <f>IF(D150&gt;=250,"Yes","No")</f>
        <v/>
      </c>
      <c r="K150">
        <f>IF(J150="Yes",RANK.EQ(F150,$F$5:$F$154,0),NA())</f>
        <v/>
      </c>
    </row>
    <row r="151">
      <c r="A151" t="inlineStr">
        <is>
          <t>D0014</t>
        </is>
      </c>
      <c r="B151" t="inlineStr">
        <is>
          <t>Central Autohaus 014</t>
        </is>
      </c>
      <c r="C151" t="inlineStr">
        <is>
          <t>Central Switzerland</t>
        </is>
      </c>
      <c r="D151" t="n">
        <v>2239</v>
      </c>
      <c r="E151" t="n">
        <v>29</v>
      </c>
      <c r="F151" s="12">
        <f>IFERROR(E151/D151,0)</f>
        <v/>
      </c>
      <c r="G151" s="16" t="n">
        <v>13.0886377847</v>
      </c>
      <c r="H151" s="12" t="n">
        <v>0.8757628852</v>
      </c>
      <c r="I151" s="15" t="n">
        <v>482856.21</v>
      </c>
      <c r="J151">
        <f>IF(D151&gt;=250,"Yes","No")</f>
        <v/>
      </c>
      <c r="K151">
        <f>IF(J151="Yes",RANK.EQ(F151,$F$5:$F$154,0),NA())</f>
        <v/>
      </c>
    </row>
    <row r="152">
      <c r="A152" t="inlineStr">
        <is>
          <t>D0072</t>
        </is>
      </c>
      <c r="B152" t="inlineStr">
        <is>
          <t>Ticino Autohaus 072</t>
        </is>
      </c>
      <c r="C152" t="inlineStr">
        <is>
          <t>Ticino</t>
        </is>
      </c>
      <c r="D152" t="n">
        <v>2292</v>
      </c>
      <c r="E152" t="n">
        <v>25</v>
      </c>
      <c r="F152" s="12">
        <f>IFERROR(E152/D152,0)</f>
        <v/>
      </c>
      <c r="G152" s="16" t="n">
        <v>10.1720375218</v>
      </c>
      <c r="H152" s="12" t="n">
        <v>0.8610347731</v>
      </c>
      <c r="I152" s="15" t="n">
        <v>300980.86</v>
      </c>
      <c r="J152">
        <f>IF(D152&gt;=250,"Yes","No")</f>
        <v/>
      </c>
      <c r="K152">
        <f>IF(J152="Yes",RANK.EQ(F152,$F$5:$F$154,0),NA())</f>
        <v/>
      </c>
    </row>
    <row r="153">
      <c r="A153" t="inlineStr">
        <is>
          <t>D0028</t>
        </is>
      </c>
      <c r="B153" t="inlineStr">
        <is>
          <t>Espace Autohaus 028</t>
        </is>
      </c>
      <c r="C153" t="inlineStr">
        <is>
          <t>Espace Mittelland</t>
        </is>
      </c>
      <c r="D153" t="n">
        <v>2338</v>
      </c>
      <c r="E153" t="n">
        <v>21</v>
      </c>
      <c r="F153" s="12">
        <f>IFERROR(E153/D153,0)</f>
        <v/>
      </c>
      <c r="G153" s="16" t="n">
        <v>17.8359794696</v>
      </c>
      <c r="H153" s="12" t="n">
        <v>0.8897740803999999</v>
      </c>
      <c r="I153" s="15" t="n">
        <v>228010.89</v>
      </c>
      <c r="J153">
        <f>IF(D153&gt;=250,"Yes","No")</f>
        <v/>
      </c>
      <c r="K153">
        <f>IF(J153="Yes",RANK.EQ(F153,$F$5:$F$154,0),NA())</f>
        <v/>
      </c>
    </row>
    <row r="154">
      <c r="A154" t="inlineStr">
        <is>
          <t>D0142</t>
        </is>
      </c>
      <c r="B154" t="inlineStr">
        <is>
          <t>Eastern Autohaus 142</t>
        </is>
      </c>
      <c r="C154" t="inlineStr">
        <is>
          <t>Eastern Switzerland</t>
        </is>
      </c>
      <c r="D154" t="n">
        <v>2290</v>
      </c>
      <c r="E154" t="n">
        <v>18</v>
      </c>
      <c r="F154" s="12">
        <f>IFERROR(E154/D154,0)</f>
        <v/>
      </c>
      <c r="G154" s="16" t="n">
        <v>9.0719737991</v>
      </c>
      <c r="H154" s="12" t="n">
        <v>0.8602430568</v>
      </c>
      <c r="I154" s="15" t="n">
        <v>171553.66</v>
      </c>
      <c r="J154">
        <f>IF(D154&gt;=250,"Yes","No")</f>
        <v/>
      </c>
      <c r="K154">
        <f>IF(J154="Yes",RANK.EQ(F154,$F$5:$F$154,0),NA())</f>
        <v/>
      </c>
    </row>
  </sheetData>
  <mergeCells count="2">
    <mergeCell ref="A2:H2"/>
    <mergeCell ref="A1:H1"/>
  </mergeCells>
  <conditionalFormatting sqref="F5:F154">
    <cfRule type="dataBar" priority="1">
      <dataBar>
        <cfvo type="min"/>
        <cfvo type="max"/>
        <color rgb="00548235"/>
      </dataBar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6" customWidth="1" min="3" max="3"/>
    <col width="18" customWidth="1" min="4" max="4"/>
    <col width="14" customWidth="1" min="5" max="5"/>
    <col width="65" customWidth="1" min="6" max="6"/>
  </cols>
  <sheetData>
    <row r="1" ht="34" customHeight="1">
      <c r="A1" s="1" t="inlineStr">
        <is>
          <t>Data Quality</t>
        </is>
      </c>
    </row>
    <row r="2">
      <c r="A2" s="2" t="inlineStr">
        <is>
          <t>Comparable checks at raw and processed stages; score is check-weighted</t>
        </is>
      </c>
    </row>
    <row r="4">
      <c r="A4" s="8" t="inlineStr">
        <is>
          <t>Stage</t>
        </is>
      </c>
      <c r="B4" s="8" t="inlineStr">
        <is>
          <t>Metric</t>
        </is>
      </c>
      <c r="C4" s="8" t="inlineStr">
        <is>
          <t>Passed Checks</t>
        </is>
      </c>
      <c r="D4" s="8" t="inlineStr">
        <is>
          <t>Applicable Checks</t>
        </is>
      </c>
      <c r="E4" s="8" t="inlineStr">
        <is>
          <t>Rate</t>
        </is>
      </c>
      <c r="F4" s="8" t="inlineStr">
        <is>
          <t>Description</t>
        </is>
      </c>
      <c r="G4" s="8" t="n"/>
      <c r="H4" s="8" t="n"/>
    </row>
    <row r="5">
      <c r="A5" t="inlineStr">
        <is>
          <t>Processed</t>
        </is>
      </c>
      <c r="B5" t="inlineStr">
        <is>
          <t>completeness_rate</t>
        </is>
      </c>
      <c r="C5" t="n">
        <v>4701163</v>
      </c>
      <c r="D5" t="n">
        <v>4701163</v>
      </c>
      <c r="E5" s="18">
        <f>IFERROR(C5/D5,1)</f>
        <v/>
      </c>
      <c r="F5" t="inlineStr">
        <is>
          <t>Required fields populated at the applicable table grain</t>
        </is>
      </c>
    </row>
    <row r="6">
      <c r="A6" t="inlineStr">
        <is>
          <t>Processed</t>
        </is>
      </c>
      <c r="B6" t="inlineStr">
        <is>
          <t>overall_data_quality_score</t>
        </is>
      </c>
      <c r="C6" t="n">
        <v>7710401</v>
      </c>
      <c r="D6" t="n">
        <v>7710401</v>
      </c>
      <c r="E6" s="18">
        <f>IFERROR(C6/D6,1)</f>
        <v/>
      </c>
      <c r="F6" t="inlineStr">
        <is>
          <t>Passed checks divided by applicable checks across all four dimensions</t>
        </is>
      </c>
    </row>
    <row r="7">
      <c r="A7" t="inlineStr">
        <is>
          <t>Processed</t>
        </is>
      </c>
      <c r="B7" t="inlineStr">
        <is>
          <t>referential_integrity_rate</t>
        </is>
      </c>
      <c r="C7" t="n">
        <v>985679</v>
      </c>
      <c r="D7" t="n">
        <v>985679</v>
      </c>
      <c r="E7" s="18">
        <f>IFERROR(C7/D7,1)</f>
        <v/>
      </c>
      <c r="F7" t="inlineStr">
        <is>
          <t>Fact foreign keys resolve to curated parent records</t>
        </is>
      </c>
    </row>
    <row r="8">
      <c r="A8" t="inlineStr">
        <is>
          <t>Processed</t>
        </is>
      </c>
      <c r="B8" t="inlineStr">
        <is>
          <t>uniqueness_rate</t>
        </is>
      </c>
      <c r="C8" t="n">
        <v>594467</v>
      </c>
      <c r="D8" t="n">
        <v>594467</v>
      </c>
      <c r="E8" s="18">
        <f>IFERROR(C8/D8,1)</f>
        <v/>
      </c>
      <c r="F8" t="inlineStr">
        <is>
          <t>Primary-key rows are unique at the declared table grain</t>
        </is>
      </c>
    </row>
    <row r="9">
      <c r="A9" t="inlineStr">
        <is>
          <t>Processed</t>
        </is>
      </c>
      <c r="B9" t="inlineStr">
        <is>
          <t>validity_rate</t>
        </is>
      </c>
      <c r="C9" t="n">
        <v>1429092</v>
      </c>
      <c r="D9" t="n">
        <v>1429092</v>
      </c>
      <c r="E9" s="18">
        <f>IFERROR(C9/D9,1)</f>
        <v/>
      </c>
      <c r="F9" t="inlineStr">
        <is>
          <t>Values conform to documented types, dates, and business ranges</t>
        </is>
      </c>
    </row>
    <row r="10">
      <c r="A10" t="inlineStr">
        <is>
          <t>Raw</t>
        </is>
      </c>
      <c r="B10" t="inlineStr">
        <is>
          <t>completeness_rate</t>
        </is>
      </c>
      <c r="C10" t="n">
        <v>4721506</v>
      </c>
      <c r="D10" t="n">
        <v>4722729</v>
      </c>
      <c r="E10" s="18">
        <f>IFERROR(C10/D10,1)</f>
        <v/>
      </c>
      <c r="F10" t="inlineStr">
        <is>
          <t>Required fields populated at the applicable table grain</t>
        </is>
      </c>
    </row>
    <row r="11">
      <c r="A11" t="inlineStr">
        <is>
          <t>Raw</t>
        </is>
      </c>
      <c r="B11" t="inlineStr">
        <is>
          <t>overall_data_quality_score</t>
        </is>
      </c>
      <c r="C11" t="n">
        <v>7743556</v>
      </c>
      <c r="D11" t="n">
        <v>7747628</v>
      </c>
      <c r="E11" s="18">
        <f>IFERROR(C11/D11,1)</f>
        <v/>
      </c>
      <c r="F11" t="inlineStr">
        <is>
          <t>Passed checks divided by applicable checks across all four dimensions</t>
        </is>
      </c>
    </row>
    <row r="12">
      <c r="A12" t="inlineStr">
        <is>
          <t>Raw</t>
        </is>
      </c>
      <c r="B12" t="inlineStr">
        <is>
          <t>referential_integrity_rate</t>
        </is>
      </c>
      <c r="C12" t="n">
        <v>990834</v>
      </c>
      <c r="D12" t="n">
        <v>991228</v>
      </c>
      <c r="E12" s="18">
        <f>IFERROR(C12/D12,1)</f>
        <v/>
      </c>
      <c r="F12" t="inlineStr">
        <is>
          <t>Fact foreign keys resolve to curated parent records</t>
        </is>
      </c>
    </row>
    <row r="13">
      <c r="A13" t="inlineStr">
        <is>
          <t>Raw</t>
        </is>
      </c>
      <c r="B13" t="inlineStr">
        <is>
          <t>uniqueness_rate</t>
        </is>
      </c>
      <c r="C13" t="n">
        <v>596483</v>
      </c>
      <c r="D13" t="n">
        <v>597202</v>
      </c>
      <c r="E13" s="18">
        <f>IFERROR(C13/D13,1)</f>
        <v/>
      </c>
      <c r="F13" t="inlineStr">
        <is>
          <t>Primary-key rows are unique at the declared table grain</t>
        </is>
      </c>
    </row>
    <row r="14">
      <c r="A14" t="inlineStr">
        <is>
          <t>Raw</t>
        </is>
      </c>
      <c r="B14" t="inlineStr">
        <is>
          <t>validity_rate</t>
        </is>
      </c>
      <c r="C14" t="n">
        <v>1434733</v>
      </c>
      <c r="D14" t="n">
        <v>1436469</v>
      </c>
      <c r="E14" s="18">
        <f>IFERROR(C14/D14,1)</f>
        <v/>
      </c>
      <c r="F14" t="inlineStr">
        <is>
          <t>Values conform to documented types, dates, and business ranges</t>
        </is>
      </c>
    </row>
    <row r="16">
      <c r="A16" s="19" t="inlineStr">
        <is>
          <t>Issue log (treatment evidence)</t>
        </is>
      </c>
    </row>
    <row r="17">
      <c r="A17" s="8" t="inlineStr">
        <is>
          <t>Issue Id</t>
        </is>
      </c>
      <c r="B17" s="8" t="inlineStr">
        <is>
          <t>Table Name</t>
        </is>
      </c>
      <c r="C17" s="8" t="inlineStr">
        <is>
          <t>Issue Type</t>
        </is>
      </c>
      <c r="D17" s="8" t="inlineStr">
        <is>
          <t>Affected Rows</t>
        </is>
      </c>
      <c r="E17" s="8" t="inlineStr">
        <is>
          <t>Action</t>
        </is>
      </c>
      <c r="F17" s="8" t="inlineStr">
        <is>
          <t>Final Result</t>
        </is>
      </c>
      <c r="G17" s="8" t="n"/>
      <c r="H17" s="8" t="n"/>
    </row>
    <row r="18">
      <c r="A18" t="inlineStr">
        <is>
          <t>DQ0001</t>
        </is>
      </c>
      <c r="B18" t="inlineStr">
        <is>
          <t>dim_customer</t>
        </is>
      </c>
      <c r="C18" t="inlineStr">
        <is>
          <t>duplicate_primary_key</t>
        </is>
      </c>
      <c r="D18" t="n">
        <v>50</v>
      </c>
      <c r="E18" t="inlineStr">
        <is>
          <t>Keep first occurrence; quarantine later duplicate</t>
        </is>
      </c>
      <c r="F18" t="inlineStr">
        <is>
          <t>50 row(s) excluded from the curated layer</t>
        </is>
      </c>
    </row>
    <row r="19">
      <c r="A19" t="inlineStr">
        <is>
          <t>DQ0002</t>
        </is>
      </c>
      <c r="B19" t="inlineStr">
        <is>
          <t>dim_customer</t>
        </is>
      </c>
      <c r="C19" t="inlineStr">
        <is>
          <t>inconsistent_lead_source_text</t>
        </is>
      </c>
      <c r="D19" t="n">
        <v>166</v>
      </c>
      <c r="E19" t="inlineStr">
        <is>
          <t>Trim and case-normalize to approved lead-source values</t>
        </is>
      </c>
      <c r="F19" t="inlineStr">
        <is>
          <t>Canonical categories restored</t>
        </is>
      </c>
    </row>
    <row r="20">
      <c r="A20" t="inlineStr">
        <is>
          <t>DQ0003</t>
        </is>
      </c>
      <c r="B20" t="inlineStr">
        <is>
          <t>dim_customer</t>
        </is>
      </c>
      <c r="C20" t="inlineStr">
        <is>
          <t>missing_canton</t>
        </is>
      </c>
      <c r="D20" t="n">
        <v>200</v>
      </c>
      <c r="E20" t="inlineStr">
        <is>
          <t>Replace missing optional geography with explicit Unknown member</t>
        </is>
      </c>
      <c r="F20" t="inlineStr">
        <is>
          <t>Rows retained; unknowns remain visible in reporting</t>
        </is>
      </c>
    </row>
    <row r="21">
      <c r="A21" t="inlineStr">
        <is>
          <t>DQ0004</t>
        </is>
      </c>
      <c r="B21" t="inlineStr">
        <is>
          <t>dim_dealer</t>
        </is>
      </c>
      <c r="C21" t="inlineStr">
        <is>
          <t>dealer_name_whitespace</t>
        </is>
      </c>
      <c r="D21" t="n">
        <v>5</v>
      </c>
      <c r="E21" t="inlineStr">
        <is>
          <t>Trim leading and trailing whitespace</t>
        </is>
      </c>
      <c r="F21" t="inlineStr">
        <is>
          <t>Dealer labels standardized</t>
        </is>
      </c>
    </row>
    <row r="22">
      <c r="A22" t="inlineStr">
        <is>
          <t>DQ0005</t>
        </is>
      </c>
      <c r="B22" t="inlineStr">
        <is>
          <t>dim_dealer</t>
        </is>
      </c>
      <c r="C22" t="inlineStr">
        <is>
          <t>duplicate_primary_key</t>
        </is>
      </c>
      <c r="D22" t="n">
        <v>2</v>
      </c>
      <c r="E22" t="inlineStr">
        <is>
          <t>Keep first occurrence; quarantine later duplicate</t>
        </is>
      </c>
      <c r="F22" t="inlineStr">
        <is>
          <t>2 row(s) excluded from the curated layer</t>
        </is>
      </c>
    </row>
    <row r="23">
      <c r="A23" t="inlineStr">
        <is>
          <t>DQ0006</t>
        </is>
      </c>
      <c r="B23" t="inlineStr">
        <is>
          <t>dim_vehicle</t>
        </is>
      </c>
      <c r="C23" t="inlineStr">
        <is>
          <t>invalid_vehicle_domain</t>
        </is>
      </c>
      <c r="D23" t="n">
        <v>77</v>
      </c>
      <c r="E23" t="inlineStr">
        <is>
          <t>Quarantine values that cannot be corrected without inventing business data</t>
        </is>
      </c>
      <c r="F23" t="inlineStr">
        <is>
          <t>77 row(s) excluded from the curated layer</t>
        </is>
      </c>
    </row>
    <row r="24">
      <c r="A24" t="inlineStr">
        <is>
          <t>DQ0007</t>
        </is>
      </c>
      <c r="B24" t="inlineStr">
        <is>
          <t>dim_vehicle</t>
        </is>
      </c>
      <c r="C24" t="inlineStr">
        <is>
          <t>missing_fuel_type</t>
        </is>
      </c>
      <c r="D24" t="n">
        <v>333</v>
      </c>
      <c r="E24" t="inlineStr">
        <is>
          <t>Replace missing optional fuel type with explicit Unknown member</t>
        </is>
      </c>
      <c r="F24" t="inlineStr">
        <is>
          <t>Rows retained without inventing a fuel classification</t>
        </is>
      </c>
    </row>
    <row r="25">
      <c r="A25" t="inlineStr">
        <is>
          <t>DQ0008</t>
        </is>
      </c>
      <c r="B25" t="inlineStr">
        <is>
          <t>dim_vehicle</t>
        </is>
      </c>
      <c r="C25" t="inlineStr">
        <is>
          <t>negative_mileage_sign_error</t>
        </is>
      </c>
      <c r="D25" t="n">
        <v>76</v>
      </c>
      <c r="E25" t="inlineStr">
        <is>
          <t>Take absolute value only when magnitude remains inside the accepted domain</t>
        </is>
      </c>
      <c r="F25" t="inlineStr">
        <is>
          <t>Plausible sign errors corrected and retained</t>
        </is>
      </c>
    </row>
    <row r="26">
      <c r="A26" t="inlineStr">
        <is>
          <t>DQ0009</t>
        </is>
      </c>
      <c r="B26" t="inlineStr">
        <is>
          <t>fact_inquiry</t>
        </is>
      </c>
      <c r="C26" t="inlineStr">
        <is>
          <t>accepted_quote_removed_by_quality_rule</t>
        </is>
      </c>
      <c r="D26" t="n">
        <v>104</v>
      </c>
      <c r="E26" t="inlineStr">
        <is>
          <t>Downgrade conversion when its accepted quote is not loadable</t>
        </is>
      </c>
      <c r="F26" t="inlineStr">
        <is>
          <t>Fact tables remain internally consistent; affected outcomes are not overstated</t>
        </is>
      </c>
    </row>
    <row r="27">
      <c r="A27" t="inlineStr">
        <is>
          <t>DQ0010</t>
        </is>
      </c>
      <c r="B27" t="inlineStr">
        <is>
          <t>fact_inquiry</t>
        </is>
      </c>
      <c r="C27" t="inlineStr">
        <is>
          <t>duplicate_primary_key</t>
        </is>
      </c>
      <c r="D27" t="n">
        <v>150</v>
      </c>
      <c r="E27" t="inlineStr">
        <is>
          <t>Keep first occurrence; quarantine later duplicate</t>
        </is>
      </c>
      <c r="F27" t="inlineStr">
        <is>
          <t>150 row(s) excluded from the curated layer</t>
        </is>
      </c>
    </row>
    <row r="28">
      <c r="A28" t="inlineStr">
        <is>
          <t>DQ0011</t>
        </is>
      </c>
      <c r="B28" t="inlineStr">
        <is>
          <t>fact_inquiry</t>
        </is>
      </c>
      <c r="C28" t="inlineStr">
        <is>
          <t>invalid_inquiry_foreign_key</t>
        </is>
      </c>
      <c r="D28" t="n">
        <v>76</v>
      </c>
      <c r="E28" t="inlineStr">
        <is>
          <t>Quarantine orphan inquiry until the parent entity is repaired</t>
        </is>
      </c>
      <c r="F28" t="inlineStr">
        <is>
          <t>76 row(s) excluded from the curated layer</t>
        </is>
      </c>
    </row>
    <row r="29">
      <c r="A29" t="inlineStr">
        <is>
          <t>DQ0012</t>
        </is>
      </c>
      <c r="B29" t="inlineStr">
        <is>
          <t>fact_inquiry</t>
        </is>
      </c>
      <c r="C29" t="inlineStr">
        <is>
          <t>malformed_inquiry_date</t>
        </is>
      </c>
      <c r="D29" t="n">
        <v>111</v>
      </c>
      <c r="E29" t="inlineStr">
        <is>
          <t>Quarantine because time-series placement and date sequence are unknown</t>
        </is>
      </c>
      <c r="F29" t="inlineStr">
        <is>
          <t>111 row(s) excluded from the curated layer</t>
        </is>
      </c>
    </row>
    <row r="30">
      <c r="A30" t="inlineStr">
        <is>
          <t>DQ0013</t>
        </is>
      </c>
      <c r="B30" t="inlineStr">
        <is>
          <t>fact_inquiry</t>
        </is>
      </c>
      <c r="C30" t="inlineStr">
        <is>
          <t>winning_dealer_mismatch</t>
        </is>
      </c>
      <c r="D30" t="n">
        <v>48</v>
      </c>
      <c r="E30" t="inlineStr">
        <is>
          <t>Derive winner and final sale price from the single accepted quote</t>
        </is>
      </c>
      <c r="F30" t="inlineStr">
        <is>
          <t>Commercial outcomes reconciled across both fact tables</t>
        </is>
      </c>
    </row>
    <row r="31">
      <c r="A31" t="inlineStr">
        <is>
          <t>DQ0014</t>
        </is>
      </c>
      <c r="B31" t="inlineStr">
        <is>
          <t>fact_quote</t>
        </is>
      </c>
      <c r="C31" t="inlineStr">
        <is>
          <t>duplicate_primary_key</t>
        </is>
      </c>
      <c r="D31" t="n">
        <v>517</v>
      </c>
      <c r="E31" t="inlineStr">
        <is>
          <t>Keep first occurrence; quarantine later duplicate</t>
        </is>
      </c>
      <c r="F31" t="inlineStr">
        <is>
          <t>517 row(s) excluded from the curated layer</t>
        </is>
      </c>
    </row>
    <row r="32">
      <c r="A32" t="inlineStr">
        <is>
          <t>DQ0015</t>
        </is>
      </c>
      <c r="B32" t="inlineStr">
        <is>
          <t>fact_quote</t>
        </is>
      </c>
      <c r="C32" t="inlineStr">
        <is>
          <t>invalid_quote_domain</t>
        </is>
      </c>
      <c r="D32" t="n">
        <v>779</v>
      </c>
      <c r="E32" t="inlineStr">
        <is>
          <t>Quarantine malformed dates or impossible monetary amounts</t>
        </is>
      </c>
      <c r="F32" t="inlineStr">
        <is>
          <t>779 row(s) excluded from the curated layer</t>
        </is>
      </c>
    </row>
    <row r="33">
      <c r="A33" t="inlineStr">
        <is>
          <t>DQ0016</t>
        </is>
      </c>
      <c r="B33" t="inlineStr">
        <is>
          <t>fact_quote</t>
        </is>
      </c>
      <c r="C33" t="inlineStr">
        <is>
          <t>invalid_quote_foreign_key</t>
        </is>
      </c>
      <c r="D33" t="n">
        <v>973</v>
      </c>
      <c r="E33" t="inlineStr">
        <is>
          <t>Quarantine orphan quote until dealer or inquiry key is repaired</t>
        </is>
      </c>
      <c r="F33" t="inlineStr">
        <is>
          <t>973 row(s) excluded from the curated layer</t>
        </is>
      </c>
    </row>
    <row r="34">
      <c r="A34" t="inlineStr">
        <is>
          <t>DQ0017</t>
        </is>
      </c>
      <c r="B34" t="inlineStr">
        <is>
          <t>fact_quote</t>
        </is>
      </c>
      <c r="C34" t="inlineStr">
        <is>
          <t>missing_response_time</t>
        </is>
      </c>
      <c r="D34" t="n">
        <v>687</v>
      </c>
      <c r="E34" t="inlineStr">
        <is>
          <t>Impute the dealer median, falling back to the portfolio median</t>
        </is>
      </c>
      <c r="F34" t="inlineStr">
        <is>
          <t>Rows retained; imputation rule documented and reproducible</t>
        </is>
      </c>
    </row>
    <row r="35">
      <c r="A35" t="inlineStr">
        <is>
          <t>DQ0018</t>
        </is>
      </c>
      <c r="B35" t="inlineStr">
        <is>
          <t>fact_quote</t>
        </is>
      </c>
      <c r="C35" t="inlineStr">
        <is>
          <t>quote_to_market_anomaly</t>
        </is>
      </c>
      <c r="D35" t="n">
        <v>1162</v>
      </c>
      <c r="E35" t="inlineStr">
        <is>
          <t>Retain plausible positive quote and set anomaly_flag for review</t>
        </is>
      </c>
      <c r="F35" t="inlineStr">
        <is>
          <t>Outliers remain analytically visible without contaminating hard-validity checks</t>
        </is>
      </c>
    </row>
  </sheetData>
  <mergeCells count="2">
    <mergeCell ref="A2:H2"/>
    <mergeCell ref="A1:H1"/>
  </mergeCells>
  <conditionalFormatting sqref="E5:E1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1" customWidth="1" min="2" max="2"/>
    <col width="14" customWidth="1" min="3" max="3"/>
    <col width="12" customWidth="1" min="4" max="4"/>
    <col width="13" customWidth="1" min="5" max="5"/>
    <col width="16" customWidth="1" min="6" max="6"/>
    <col width="40" customWidth="1" min="7" max="7"/>
  </cols>
  <sheetData>
    <row r="1" ht="34" customHeight="1">
      <c r="A1" s="1" t="inlineStr">
        <is>
          <t>Curated Field Profile</t>
        </is>
      </c>
    </row>
    <row r="2">
      <c r="A2" s="2" t="inlineStr">
        <is>
          <t>Machine-derived schema, nullability, cardinality, and examples</t>
        </is>
      </c>
    </row>
    <row r="4">
      <c r="A4" s="8" t="inlineStr">
        <is>
          <t>Table</t>
        </is>
      </c>
      <c r="B4" s="8" t="inlineStr">
        <is>
          <t>Column</t>
        </is>
      </c>
      <c r="C4" s="8" t="inlineStr">
        <is>
          <t>Pandas Type</t>
        </is>
      </c>
      <c r="D4" s="8" t="inlineStr">
        <is>
          <t>Rows</t>
        </is>
      </c>
      <c r="E4" s="8" t="inlineStr">
        <is>
          <t>Null Rate</t>
        </is>
      </c>
      <c r="F4" s="8" t="inlineStr">
        <is>
          <t>Distinct Values</t>
        </is>
      </c>
      <c r="G4" s="8" t="inlineStr">
        <is>
          <t>Example</t>
        </is>
      </c>
      <c r="H4" s="8" t="n"/>
    </row>
    <row r="5">
      <c r="A5" t="inlineStr">
        <is>
          <t>data_quality_issue_log</t>
        </is>
      </c>
      <c r="B5" t="inlineStr">
        <is>
          <t>issue_id</t>
        </is>
      </c>
      <c r="C5" t="inlineStr">
        <is>
          <t>object</t>
        </is>
      </c>
      <c r="D5" t="n">
        <v>18</v>
      </c>
      <c r="E5" s="20" t="n">
        <v>0</v>
      </c>
      <c r="F5" t="n">
        <v>18</v>
      </c>
      <c r="G5" t="inlineStr">
        <is>
          <t>DQ0001</t>
        </is>
      </c>
    </row>
    <row r="6">
      <c r="A6" t="inlineStr">
        <is>
          <t>data_quality_issue_log</t>
        </is>
      </c>
      <c r="B6" t="inlineStr">
        <is>
          <t>table_name</t>
        </is>
      </c>
      <c r="C6" t="inlineStr">
        <is>
          <t>object</t>
        </is>
      </c>
      <c r="D6" t="n">
        <v>18</v>
      </c>
      <c r="E6" s="20" t="n">
        <v>0</v>
      </c>
      <c r="F6" t="n">
        <v>5</v>
      </c>
      <c r="G6" t="inlineStr">
        <is>
          <t>dim_customer</t>
        </is>
      </c>
    </row>
    <row r="7">
      <c r="A7" t="inlineStr">
        <is>
          <t>data_quality_issue_log</t>
        </is>
      </c>
      <c r="B7" t="inlineStr">
        <is>
          <t>issue_type</t>
        </is>
      </c>
      <c r="C7" t="inlineStr">
        <is>
          <t>object</t>
        </is>
      </c>
      <c r="D7" t="n">
        <v>18</v>
      </c>
      <c r="E7" s="20" t="n">
        <v>0</v>
      </c>
      <c r="F7" t="n">
        <v>15</v>
      </c>
      <c r="G7" t="inlineStr">
        <is>
          <t>duplicate_primary_key</t>
        </is>
      </c>
    </row>
    <row r="8">
      <c r="A8" t="inlineStr">
        <is>
          <t>data_quality_issue_log</t>
        </is>
      </c>
      <c r="B8" t="inlineStr">
        <is>
          <t>affected_rows</t>
        </is>
      </c>
      <c r="C8" t="inlineStr">
        <is>
          <t>int64</t>
        </is>
      </c>
      <c r="D8" t="n">
        <v>18</v>
      </c>
      <c r="E8" s="20" t="n">
        <v>0</v>
      </c>
      <c r="F8" t="n">
        <v>17</v>
      </c>
      <c r="G8" t="inlineStr">
        <is>
          <t>50</t>
        </is>
      </c>
    </row>
    <row r="9">
      <c r="A9" t="inlineStr">
        <is>
          <t>data_quality_issue_log</t>
        </is>
      </c>
      <c r="B9" t="inlineStr">
        <is>
          <t>action</t>
        </is>
      </c>
      <c r="C9" t="inlineStr">
        <is>
          <t>object</t>
        </is>
      </c>
      <c r="D9" t="n">
        <v>18</v>
      </c>
      <c r="E9" s="20" t="n">
        <v>0</v>
      </c>
      <c r="F9" t="n">
        <v>15</v>
      </c>
      <c r="G9" t="inlineStr">
        <is>
          <t>Keep first occurrence; quarantine later duplicate</t>
        </is>
      </c>
    </row>
    <row r="10">
      <c r="A10" t="inlineStr">
        <is>
          <t>data_quality_issue_log</t>
        </is>
      </c>
      <c r="B10" t="inlineStr">
        <is>
          <t>final_result</t>
        </is>
      </c>
      <c r="C10" t="inlineStr">
        <is>
          <t>object</t>
        </is>
      </c>
      <c r="D10" t="n">
        <v>18</v>
      </c>
      <c r="E10" s="20" t="n">
        <v>0</v>
      </c>
      <c r="F10" t="n">
        <v>18</v>
      </c>
      <c r="G10" t="inlineStr">
        <is>
          <t>50 row(s) excluded from the curated layer</t>
        </is>
      </c>
    </row>
    <row r="11">
      <c r="A11" t="inlineStr">
        <is>
          <t>data_quality_metrics</t>
        </is>
      </c>
      <c r="B11" t="inlineStr">
        <is>
          <t>metric_name</t>
        </is>
      </c>
      <c r="C11" t="inlineStr">
        <is>
          <t>object</t>
        </is>
      </c>
      <c r="D11" t="n">
        <v>10</v>
      </c>
      <c r="E11" s="20" t="n">
        <v>0</v>
      </c>
      <c r="F11" t="n">
        <v>5</v>
      </c>
      <c r="G11" t="inlineStr">
        <is>
          <t>completeness_rate</t>
        </is>
      </c>
    </row>
    <row r="12">
      <c r="A12" t="inlineStr">
        <is>
          <t>data_quality_metrics</t>
        </is>
      </c>
      <c r="B12" t="inlineStr">
        <is>
          <t>stage</t>
        </is>
      </c>
      <c r="C12" t="inlineStr">
        <is>
          <t>object</t>
        </is>
      </c>
      <c r="D12" t="n">
        <v>10</v>
      </c>
      <c r="E12" s="20" t="n">
        <v>0</v>
      </c>
      <c r="F12" t="n">
        <v>2</v>
      </c>
      <c r="G12" t="inlineStr">
        <is>
          <t>Processed</t>
        </is>
      </c>
    </row>
    <row r="13">
      <c r="A13" t="inlineStr">
        <is>
          <t>data_quality_metrics</t>
        </is>
      </c>
      <c r="B13" t="inlineStr">
        <is>
          <t>passed_records</t>
        </is>
      </c>
      <c r="C13" t="inlineStr">
        <is>
          <t>int64</t>
        </is>
      </c>
      <c r="D13" t="n">
        <v>10</v>
      </c>
      <c r="E13" s="20" t="n">
        <v>0</v>
      </c>
      <c r="F13" t="n">
        <v>10</v>
      </c>
      <c r="G13" t="inlineStr">
        <is>
          <t>4701163</t>
        </is>
      </c>
    </row>
    <row r="14">
      <c r="A14" t="inlineStr">
        <is>
          <t>data_quality_metrics</t>
        </is>
      </c>
      <c r="B14" t="inlineStr">
        <is>
          <t>total_records</t>
        </is>
      </c>
      <c r="C14" t="inlineStr">
        <is>
          <t>int64</t>
        </is>
      </c>
      <c r="D14" t="n">
        <v>10</v>
      </c>
      <c r="E14" s="20" t="n">
        <v>0</v>
      </c>
      <c r="F14" t="n">
        <v>10</v>
      </c>
      <c r="G14" t="inlineStr">
        <is>
          <t>4701163</t>
        </is>
      </c>
    </row>
    <row r="15">
      <c r="A15" t="inlineStr">
        <is>
          <t>data_quality_metrics</t>
        </is>
      </c>
      <c r="B15" t="inlineStr">
        <is>
          <t>rate</t>
        </is>
      </c>
      <c r="C15" t="inlineStr">
        <is>
          <t>float64</t>
        </is>
      </c>
      <c r="D15" t="n">
        <v>10</v>
      </c>
      <c r="E15" s="20" t="n">
        <v>0</v>
      </c>
      <c r="F15" t="n">
        <v>6</v>
      </c>
      <c r="G15" t="inlineStr">
        <is>
          <t>1.0</t>
        </is>
      </c>
    </row>
    <row r="16">
      <c r="A16" t="inlineStr">
        <is>
          <t>data_quality_metrics</t>
        </is>
      </c>
      <c r="B16" t="inlineStr">
        <is>
          <t>description</t>
        </is>
      </c>
      <c r="C16" t="inlineStr">
        <is>
          <t>object</t>
        </is>
      </c>
      <c r="D16" t="n">
        <v>10</v>
      </c>
      <c r="E16" s="20" t="n">
        <v>0</v>
      </c>
      <c r="F16" t="n">
        <v>5</v>
      </c>
      <c r="G16" t="inlineStr">
        <is>
          <t>Required fields populated at the applicable table grain</t>
        </is>
      </c>
    </row>
    <row r="17">
      <c r="A17" t="inlineStr">
        <is>
          <t>data_quality_metrics</t>
        </is>
      </c>
      <c r="B17" t="inlineStr">
        <is>
          <t>assessment_date</t>
        </is>
      </c>
      <c r="C17" t="inlineStr">
        <is>
          <t>object</t>
        </is>
      </c>
      <c r="D17" t="n">
        <v>10</v>
      </c>
      <c r="E17" s="20" t="n">
        <v>0</v>
      </c>
      <c r="F17" t="n">
        <v>1</v>
      </c>
      <c r="G17" t="inlineStr">
        <is>
          <t>2026-01-01</t>
        </is>
      </c>
    </row>
    <row r="18">
      <c r="A18" t="inlineStr">
        <is>
          <t>dim_customer</t>
        </is>
      </c>
      <c r="B18" t="inlineStr">
        <is>
          <t>customer_id</t>
        </is>
      </c>
      <c r="C18" t="inlineStr">
        <is>
          <t>object</t>
        </is>
      </c>
      <c r="D18" t="n">
        <v>50000</v>
      </c>
      <c r="E18" s="20" t="n">
        <v>0</v>
      </c>
      <c r="F18" t="n">
        <v>50000</v>
      </c>
      <c r="G18" t="inlineStr">
        <is>
          <t>C000001</t>
        </is>
      </c>
    </row>
    <row r="19">
      <c r="A19" t="inlineStr">
        <is>
          <t>dim_customer</t>
        </is>
      </c>
      <c r="B19" t="inlineStr">
        <is>
          <t>customer_created_date</t>
        </is>
      </c>
      <c r="C19" t="inlineStr">
        <is>
          <t>object</t>
        </is>
      </c>
      <c r="D19" t="n">
        <v>50000</v>
      </c>
      <c r="E19" s="20" t="n">
        <v>0</v>
      </c>
      <c r="F19" t="n">
        <v>2295</v>
      </c>
      <c r="G19" t="inlineStr">
        <is>
          <t>2022-05-14</t>
        </is>
      </c>
    </row>
    <row r="20">
      <c r="A20" t="inlineStr">
        <is>
          <t>dim_customer</t>
        </is>
      </c>
      <c r="B20" t="inlineStr">
        <is>
          <t>age_group</t>
        </is>
      </c>
      <c r="C20" t="inlineStr">
        <is>
          <t>object</t>
        </is>
      </c>
      <c r="D20" t="n">
        <v>50000</v>
      </c>
      <c r="E20" s="20" t="n">
        <v>0</v>
      </c>
      <c r="F20" t="n">
        <v>6</v>
      </c>
      <c r="G20" t="inlineStr">
        <is>
          <t>35-44</t>
        </is>
      </c>
    </row>
    <row r="21">
      <c r="A21" t="inlineStr">
        <is>
          <t>dim_customer</t>
        </is>
      </c>
      <c r="B21" t="inlineStr">
        <is>
          <t>canton</t>
        </is>
      </c>
      <c r="C21" t="inlineStr">
        <is>
          <t>object</t>
        </is>
      </c>
      <c r="D21" t="n">
        <v>50000</v>
      </c>
      <c r="E21" s="20" t="n">
        <v>0</v>
      </c>
      <c r="F21" t="n">
        <v>27</v>
      </c>
      <c r="G21" t="inlineStr">
        <is>
          <t>ZH</t>
        </is>
      </c>
    </row>
    <row r="22">
      <c r="A22" t="inlineStr">
        <is>
          <t>dim_customer</t>
        </is>
      </c>
      <c r="B22" t="inlineStr">
        <is>
          <t>customer_type</t>
        </is>
      </c>
      <c r="C22" t="inlineStr">
        <is>
          <t>object</t>
        </is>
      </c>
      <c r="D22" t="n">
        <v>50000</v>
      </c>
      <c r="E22" s="20" t="n">
        <v>0</v>
      </c>
      <c r="F22" t="n">
        <v>3</v>
      </c>
      <c r="G22" t="inlineStr">
        <is>
          <t>Private</t>
        </is>
      </c>
    </row>
    <row r="23">
      <c r="A23" t="inlineStr">
        <is>
          <t>dim_customer</t>
        </is>
      </c>
      <c r="B23" t="inlineStr">
        <is>
          <t>preferred_contact_method</t>
        </is>
      </c>
      <c r="C23" t="inlineStr">
        <is>
          <t>object</t>
        </is>
      </c>
      <c r="D23" t="n">
        <v>50000</v>
      </c>
      <c r="E23" s="20" t="n">
        <v>0</v>
      </c>
      <c r="F23" t="n">
        <v>4</v>
      </c>
      <c r="G23" t="inlineStr">
        <is>
          <t>Whatsapp</t>
        </is>
      </c>
    </row>
    <row r="24">
      <c r="A24" t="inlineStr">
        <is>
          <t>dim_customer</t>
        </is>
      </c>
      <c r="B24" t="inlineStr">
        <is>
          <t>lead_source</t>
        </is>
      </c>
      <c r="C24" t="inlineStr">
        <is>
          <t>object</t>
        </is>
      </c>
      <c r="D24" t="n">
        <v>50000</v>
      </c>
      <c r="E24" s="20" t="n">
        <v>0</v>
      </c>
      <c r="F24" t="n">
        <v>6</v>
      </c>
      <c r="G24" t="inlineStr">
        <is>
          <t>Paid Search</t>
        </is>
      </c>
    </row>
    <row r="25">
      <c r="A25" t="inlineStr">
        <is>
          <t>dim_date</t>
        </is>
      </c>
      <c r="B25" t="inlineStr">
        <is>
          <t>date</t>
        </is>
      </c>
      <c r="C25" t="inlineStr">
        <is>
          <t>object</t>
        </is>
      </c>
      <c r="D25" t="n">
        <v>1461</v>
      </c>
      <c r="E25" s="20" t="n">
        <v>0</v>
      </c>
      <c r="F25" t="n">
        <v>1461</v>
      </c>
      <c r="G25" t="inlineStr">
        <is>
          <t>2022-01-01</t>
        </is>
      </c>
    </row>
    <row r="26">
      <c r="A26" t="inlineStr">
        <is>
          <t>dim_date</t>
        </is>
      </c>
      <c r="B26" t="inlineStr">
        <is>
          <t>year</t>
        </is>
      </c>
      <c r="C26" t="inlineStr">
        <is>
          <t>int64</t>
        </is>
      </c>
      <c r="D26" t="n">
        <v>1461</v>
      </c>
      <c r="E26" s="20" t="n">
        <v>0</v>
      </c>
      <c r="F26" t="n">
        <v>4</v>
      </c>
      <c r="G26" t="inlineStr">
        <is>
          <t>2022</t>
        </is>
      </c>
    </row>
    <row r="27">
      <c r="A27" t="inlineStr">
        <is>
          <t>dim_date</t>
        </is>
      </c>
      <c r="B27" t="inlineStr">
        <is>
          <t>quarter</t>
        </is>
      </c>
      <c r="C27" t="inlineStr">
        <is>
          <t>object</t>
        </is>
      </c>
      <c r="D27" t="n">
        <v>1461</v>
      </c>
      <c r="E27" s="20" t="n">
        <v>0</v>
      </c>
      <c r="F27" t="n">
        <v>4</v>
      </c>
      <c r="G27" t="inlineStr">
        <is>
          <t>Q1</t>
        </is>
      </c>
    </row>
    <row r="28">
      <c r="A28" t="inlineStr">
        <is>
          <t>dim_date</t>
        </is>
      </c>
      <c r="B28" t="inlineStr">
        <is>
          <t>month</t>
        </is>
      </c>
      <c r="C28" t="inlineStr">
        <is>
          <t>int64</t>
        </is>
      </c>
      <c r="D28" t="n">
        <v>1461</v>
      </c>
      <c r="E28" s="20" t="n">
        <v>0</v>
      </c>
      <c r="F28" t="n">
        <v>12</v>
      </c>
      <c r="G28" t="inlineStr">
        <is>
          <t>1</t>
        </is>
      </c>
    </row>
    <row r="29">
      <c r="A29" t="inlineStr">
        <is>
          <t>dim_date</t>
        </is>
      </c>
      <c r="B29" t="inlineStr">
        <is>
          <t>month_name</t>
        </is>
      </c>
      <c r="C29" t="inlineStr">
        <is>
          <t>object</t>
        </is>
      </c>
      <c r="D29" t="n">
        <v>1461</v>
      </c>
      <c r="E29" s="20" t="n">
        <v>0</v>
      </c>
      <c r="F29" t="n">
        <v>12</v>
      </c>
      <c r="G29" t="inlineStr">
        <is>
          <t>January</t>
        </is>
      </c>
    </row>
    <row r="30">
      <c r="A30" t="inlineStr">
        <is>
          <t>dim_date</t>
        </is>
      </c>
      <c r="B30" t="inlineStr">
        <is>
          <t>week</t>
        </is>
      </c>
      <c r="C30" t="inlineStr">
        <is>
          <t>int64</t>
        </is>
      </c>
      <c r="D30" t="n">
        <v>1461</v>
      </c>
      <c r="E30" s="20" t="n">
        <v>0</v>
      </c>
      <c r="F30" t="n">
        <v>52</v>
      </c>
      <c r="G30" t="inlineStr">
        <is>
          <t>52</t>
        </is>
      </c>
    </row>
    <row r="31">
      <c r="A31" t="inlineStr">
        <is>
          <t>dim_date</t>
        </is>
      </c>
      <c r="B31" t="inlineStr">
        <is>
          <t>day_of_week</t>
        </is>
      </c>
      <c r="C31" t="inlineStr">
        <is>
          <t>object</t>
        </is>
      </c>
      <c r="D31" t="n">
        <v>1461</v>
      </c>
      <c r="E31" s="20" t="n">
        <v>0</v>
      </c>
      <c r="F31" t="n">
        <v>7</v>
      </c>
      <c r="G31" t="inlineStr">
        <is>
          <t>Saturday</t>
        </is>
      </c>
    </row>
    <row r="32">
      <c r="A32" t="inlineStr">
        <is>
          <t>dim_date</t>
        </is>
      </c>
      <c r="B32" t="inlineStr">
        <is>
          <t>is_weekend</t>
        </is>
      </c>
      <c r="C32" t="inlineStr">
        <is>
          <t>bool</t>
        </is>
      </c>
      <c r="D32" t="n">
        <v>1461</v>
      </c>
      <c r="E32" s="20" t="n">
        <v>0</v>
      </c>
      <c r="F32" t="n">
        <v>2</v>
      </c>
      <c r="G32" t="inlineStr">
        <is>
          <t>True</t>
        </is>
      </c>
    </row>
    <row r="33">
      <c r="A33" t="inlineStr">
        <is>
          <t>dim_dealer</t>
        </is>
      </c>
      <c r="B33" t="inlineStr">
        <is>
          <t>dealer_id</t>
        </is>
      </c>
      <c r="C33" t="inlineStr">
        <is>
          <t>object</t>
        </is>
      </c>
      <c r="D33" t="n">
        <v>150</v>
      </c>
      <c r="E33" s="20" t="n">
        <v>0</v>
      </c>
      <c r="F33" t="n">
        <v>150</v>
      </c>
      <c r="G33" t="inlineStr">
        <is>
          <t>D0001</t>
        </is>
      </c>
    </row>
    <row r="34">
      <c r="A34" t="inlineStr">
        <is>
          <t>dim_dealer</t>
        </is>
      </c>
      <c r="B34" t="inlineStr">
        <is>
          <t>dealer_name</t>
        </is>
      </c>
      <c r="C34" t="inlineStr">
        <is>
          <t>object</t>
        </is>
      </c>
      <c r="D34" t="n">
        <v>150</v>
      </c>
      <c r="E34" s="20" t="n">
        <v>0</v>
      </c>
      <c r="F34" t="n">
        <v>150</v>
      </c>
      <c r="G34" t="inlineStr">
        <is>
          <t>Espace Autohaus 001</t>
        </is>
      </c>
    </row>
    <row r="35">
      <c r="A35" t="inlineStr">
        <is>
          <t>dim_dealer</t>
        </is>
      </c>
      <c r="B35" t="inlineStr">
        <is>
          <t>dealer_region</t>
        </is>
      </c>
      <c r="C35" t="inlineStr">
        <is>
          <t>object</t>
        </is>
      </c>
      <c r="D35" t="n">
        <v>150</v>
      </c>
      <c r="E35" s="20" t="n">
        <v>0</v>
      </c>
      <c r="F35" t="n">
        <v>7</v>
      </c>
      <c r="G35" t="inlineStr">
        <is>
          <t>Espace Mittelland</t>
        </is>
      </c>
    </row>
    <row r="36">
      <c r="A36" t="inlineStr">
        <is>
          <t>dim_dealer</t>
        </is>
      </c>
      <c r="B36" t="inlineStr">
        <is>
          <t>dealer_type</t>
        </is>
      </c>
      <c r="C36" t="inlineStr">
        <is>
          <t>object</t>
        </is>
      </c>
      <c r="D36" t="n">
        <v>150</v>
      </c>
      <c r="E36" s="20" t="n">
        <v>0</v>
      </c>
      <c r="F36" t="n">
        <v>3</v>
      </c>
      <c r="G36" t="inlineStr">
        <is>
          <t>Independent</t>
        </is>
      </c>
    </row>
    <row r="37">
      <c r="A37" t="inlineStr">
        <is>
          <t>dim_dealer</t>
        </is>
      </c>
      <c r="B37" t="inlineStr">
        <is>
          <t>dealer_rating</t>
        </is>
      </c>
      <c r="C37" t="inlineStr">
        <is>
          <t>float64</t>
        </is>
      </c>
      <c r="D37" t="n">
        <v>150</v>
      </c>
      <c r="E37" s="20" t="n">
        <v>0</v>
      </c>
      <c r="F37" t="n">
        <v>96</v>
      </c>
      <c r="G37" t="inlineStr">
        <is>
          <t>4.35</t>
        </is>
      </c>
    </row>
    <row r="38">
      <c r="A38" t="inlineStr">
        <is>
          <t>dim_dealer</t>
        </is>
      </c>
      <c r="B38" t="inlineStr">
        <is>
          <t>active_flag</t>
        </is>
      </c>
      <c r="C38" t="inlineStr">
        <is>
          <t>bool</t>
        </is>
      </c>
      <c r="D38" t="n">
        <v>150</v>
      </c>
      <c r="E38" s="20" t="n">
        <v>0</v>
      </c>
      <c r="F38" t="n">
        <v>2</v>
      </c>
      <c r="G38" t="inlineStr">
        <is>
          <t>True</t>
        </is>
      </c>
    </row>
    <row r="39">
      <c r="A39" t="inlineStr">
        <is>
          <t>dim_vehicle</t>
        </is>
      </c>
      <c r="B39" t="inlineStr">
        <is>
          <t>vehicle_id</t>
        </is>
      </c>
      <c r="C39" t="inlineStr">
        <is>
          <t>object</t>
        </is>
      </c>
      <c r="D39" t="n">
        <v>99923</v>
      </c>
      <c r="E39" s="20" t="n">
        <v>0</v>
      </c>
      <c r="F39" t="n">
        <v>99923</v>
      </c>
      <c r="G39" t="inlineStr">
        <is>
          <t>V0000001</t>
        </is>
      </c>
    </row>
    <row r="40">
      <c r="A40" t="inlineStr">
        <is>
          <t>dim_vehicle</t>
        </is>
      </c>
      <c r="B40" t="inlineStr">
        <is>
          <t>brand</t>
        </is>
      </c>
      <c r="C40" t="inlineStr">
        <is>
          <t>object</t>
        </is>
      </c>
      <c r="D40" t="n">
        <v>99923</v>
      </c>
      <c r="E40" s="20" t="n">
        <v>0</v>
      </c>
      <c r="F40" t="n">
        <v>24</v>
      </c>
      <c r="G40" t="inlineStr">
        <is>
          <t>Toyota</t>
        </is>
      </c>
    </row>
    <row r="41">
      <c r="A41" t="inlineStr">
        <is>
          <t>dim_vehicle</t>
        </is>
      </c>
      <c r="B41" t="inlineStr">
        <is>
          <t>model</t>
        </is>
      </c>
      <c r="C41" t="inlineStr">
        <is>
          <t>object</t>
        </is>
      </c>
      <c r="D41" t="n">
        <v>99923</v>
      </c>
      <c r="E41" s="20" t="n">
        <v>0</v>
      </c>
      <c r="F41" t="n">
        <v>42</v>
      </c>
      <c r="G41" t="inlineStr">
        <is>
          <t>RAV4</t>
        </is>
      </c>
    </row>
    <row r="42">
      <c r="A42" t="inlineStr">
        <is>
          <t>dim_vehicle</t>
        </is>
      </c>
      <c r="B42" t="inlineStr">
        <is>
          <t>vehicle_type</t>
        </is>
      </c>
      <c r="C42" t="inlineStr">
        <is>
          <t>object</t>
        </is>
      </c>
      <c r="D42" t="n">
        <v>99923</v>
      </c>
      <c r="E42" s="20" t="n">
        <v>0</v>
      </c>
      <c r="F42" t="n">
        <v>6</v>
      </c>
      <c r="G42" t="inlineStr">
        <is>
          <t>Suv</t>
        </is>
      </c>
    </row>
    <row r="43">
      <c r="A43" t="inlineStr">
        <is>
          <t>dim_vehicle</t>
        </is>
      </c>
      <c r="B43" t="inlineStr">
        <is>
          <t>fuel_type</t>
        </is>
      </c>
      <c r="C43" t="inlineStr">
        <is>
          <t>object</t>
        </is>
      </c>
      <c r="D43" t="n">
        <v>99923</v>
      </c>
      <c r="E43" s="20" t="n">
        <v>0</v>
      </c>
      <c r="F43" t="n">
        <v>5</v>
      </c>
      <c r="G43" t="inlineStr">
        <is>
          <t>Petrol</t>
        </is>
      </c>
    </row>
    <row r="44">
      <c r="A44" t="inlineStr">
        <is>
          <t>dim_vehicle</t>
        </is>
      </c>
      <c r="B44" t="inlineStr">
        <is>
          <t>manufacture_year</t>
        </is>
      </c>
      <c r="C44" t="inlineStr">
        <is>
          <t>int64</t>
        </is>
      </c>
      <c r="D44" t="n">
        <v>99923</v>
      </c>
      <c r="E44" s="20" t="n">
        <v>0</v>
      </c>
      <c r="F44" t="n">
        <v>22</v>
      </c>
      <c r="G44" t="inlineStr">
        <is>
          <t>2013</t>
        </is>
      </c>
    </row>
    <row r="45">
      <c r="A45" t="inlineStr">
        <is>
          <t>dim_vehicle</t>
        </is>
      </c>
      <c r="B45" t="inlineStr">
        <is>
          <t>mileage_km</t>
        </is>
      </c>
      <c r="C45" t="inlineStr">
        <is>
          <t>int64</t>
        </is>
      </c>
      <c r="D45" t="n">
        <v>99923</v>
      </c>
      <c r="E45" s="20" t="n">
        <v>0</v>
      </c>
      <c r="F45" t="n">
        <v>74917</v>
      </c>
      <c r="G45" t="inlineStr">
        <is>
          <t>123117</t>
        </is>
      </c>
    </row>
    <row r="46">
      <c r="A46" t="inlineStr">
        <is>
          <t>dim_vehicle</t>
        </is>
      </c>
      <c r="B46" t="inlineStr">
        <is>
          <t>estimated_market_value</t>
        </is>
      </c>
      <c r="C46" t="inlineStr">
        <is>
          <t>float64</t>
        </is>
      </c>
      <c r="D46" t="n">
        <v>99923</v>
      </c>
      <c r="E46" s="20" t="n">
        <v>0</v>
      </c>
      <c r="F46" t="n">
        <v>98020</v>
      </c>
      <c r="G46" t="inlineStr">
        <is>
          <t>4509.59</t>
        </is>
      </c>
    </row>
    <row r="47">
      <c r="A47" t="inlineStr">
        <is>
          <t>dim_vehicle</t>
        </is>
      </c>
      <c r="B47" t="inlineStr">
        <is>
          <t>vehicle_condition</t>
        </is>
      </c>
      <c r="C47" t="inlineStr">
        <is>
          <t>object</t>
        </is>
      </c>
      <c r="D47" t="n">
        <v>99923</v>
      </c>
      <c r="E47" s="20" t="n">
        <v>0</v>
      </c>
      <c r="F47" t="n">
        <v>4</v>
      </c>
      <c r="G47" t="inlineStr">
        <is>
          <t>Poor</t>
        </is>
      </c>
    </row>
    <row r="48">
      <c r="A48" t="inlineStr">
        <is>
          <t>dim_vehicle</t>
        </is>
      </c>
      <c r="B48" t="inlineStr">
        <is>
          <t>mileage_bracket</t>
        </is>
      </c>
      <c r="C48" t="inlineStr">
        <is>
          <t>object</t>
        </is>
      </c>
      <c r="D48" t="n">
        <v>99923</v>
      </c>
      <c r="E48" s="20" t="n">
        <v>0</v>
      </c>
      <c r="F48" t="n">
        <v>5</v>
      </c>
      <c r="G48" t="inlineStr">
        <is>
          <t>75k-125k</t>
        </is>
      </c>
    </row>
    <row r="49">
      <c r="A49" t="inlineStr">
        <is>
          <t>dim_vehicle</t>
        </is>
      </c>
      <c r="B49" t="inlineStr">
        <is>
          <t>market_value_band</t>
        </is>
      </c>
      <c r="C49" t="inlineStr">
        <is>
          <t>object</t>
        </is>
      </c>
      <c r="D49" t="n">
        <v>99923</v>
      </c>
      <c r="E49" s="20" t="n">
        <v>0</v>
      </c>
      <c r="F49" t="n">
        <v>5</v>
      </c>
      <c r="G49" t="inlineStr">
        <is>
          <t>&lt;10k</t>
        </is>
      </c>
    </row>
    <row r="50">
      <c r="A50" t="inlineStr">
        <is>
          <t>fact_inquiry</t>
        </is>
      </c>
      <c r="B50" t="inlineStr">
        <is>
          <t>inquiry_id</t>
        </is>
      </c>
      <c r="C50" t="inlineStr">
        <is>
          <t>object</t>
        </is>
      </c>
      <c r="D50" t="n">
        <v>99813</v>
      </c>
      <c r="E50" s="20" t="n">
        <v>0</v>
      </c>
      <c r="F50" t="n">
        <v>99813</v>
      </c>
      <c r="G50" t="inlineStr">
        <is>
          <t>I0000001</t>
        </is>
      </c>
    </row>
    <row r="51">
      <c r="A51" t="inlineStr">
        <is>
          <t>fact_inquiry</t>
        </is>
      </c>
      <c r="B51" t="inlineStr">
        <is>
          <t>customer_id</t>
        </is>
      </c>
      <c r="C51" t="inlineStr">
        <is>
          <t>object</t>
        </is>
      </c>
      <c r="D51" t="n">
        <v>99813</v>
      </c>
      <c r="E51" s="20" t="n">
        <v>0</v>
      </c>
      <c r="F51" t="n">
        <v>43261</v>
      </c>
      <c r="G51" t="inlineStr">
        <is>
          <t>C049754</t>
        </is>
      </c>
    </row>
    <row r="52">
      <c r="A52" t="inlineStr">
        <is>
          <t>fact_inquiry</t>
        </is>
      </c>
      <c r="B52" t="inlineStr">
        <is>
          <t>vehicle_id</t>
        </is>
      </c>
      <c r="C52" t="inlineStr">
        <is>
          <t>object</t>
        </is>
      </c>
      <c r="D52" t="n">
        <v>99813</v>
      </c>
      <c r="E52" s="20" t="n">
        <v>0</v>
      </c>
      <c r="F52" t="n">
        <v>99813</v>
      </c>
      <c r="G52" t="inlineStr">
        <is>
          <t>V0000001</t>
        </is>
      </c>
    </row>
    <row r="53">
      <c r="A53" t="inlineStr">
        <is>
          <t>fact_inquiry</t>
        </is>
      </c>
      <c r="B53" t="inlineStr">
        <is>
          <t>inquiry_date</t>
        </is>
      </c>
      <c r="C53" t="inlineStr">
        <is>
          <t>object</t>
        </is>
      </c>
      <c r="D53" t="n">
        <v>99813</v>
      </c>
      <c r="E53" s="20" t="n">
        <v>0</v>
      </c>
      <c r="F53" t="n">
        <v>1457</v>
      </c>
      <c r="G53" t="inlineStr">
        <is>
          <t>2025-03-20</t>
        </is>
      </c>
    </row>
    <row r="54">
      <c r="A54" t="inlineStr">
        <is>
          <t>fact_inquiry</t>
        </is>
      </c>
      <c r="B54" t="inlineStr">
        <is>
          <t>lead_source</t>
        </is>
      </c>
      <c r="C54" t="inlineStr">
        <is>
          <t>object</t>
        </is>
      </c>
      <c r="D54" t="n">
        <v>99813</v>
      </c>
      <c r="E54" s="20" t="n">
        <v>0</v>
      </c>
      <c r="F54" t="n">
        <v>6</v>
      </c>
      <c r="G54" t="inlineStr">
        <is>
          <t>Dealer Referral</t>
        </is>
      </c>
    </row>
    <row r="55">
      <c r="A55" t="inlineStr">
        <is>
          <t>fact_inquiry</t>
        </is>
      </c>
      <c r="B55" t="inlineStr">
        <is>
          <t>status</t>
        </is>
      </c>
      <c r="C55" t="inlineStr">
        <is>
          <t>object</t>
        </is>
      </c>
      <c r="D55" t="n">
        <v>99813</v>
      </c>
      <c r="E55" s="20" t="n">
        <v>0</v>
      </c>
      <c r="F55" t="n">
        <v>4</v>
      </c>
      <c r="G55" t="inlineStr">
        <is>
          <t>Converted</t>
        </is>
      </c>
    </row>
    <row r="56">
      <c r="A56" t="inlineStr">
        <is>
          <t>fact_inquiry</t>
        </is>
      </c>
      <c r="B56" t="inlineStr">
        <is>
          <t>final_sale_price</t>
        </is>
      </c>
      <c r="C56" t="inlineStr">
        <is>
          <t>float64</t>
        </is>
      </c>
      <c r="D56" t="n">
        <v>99813</v>
      </c>
      <c r="E56" s="20" t="n">
        <v>0.6747517858395199</v>
      </c>
      <c r="F56" t="n">
        <v>32360</v>
      </c>
      <c r="G56" t="inlineStr">
        <is>
          <t>4790.67</t>
        </is>
      </c>
    </row>
    <row r="57">
      <c r="A57" t="inlineStr">
        <is>
          <t>fact_inquiry</t>
        </is>
      </c>
      <c r="B57" t="inlineStr">
        <is>
          <t>winning_dealer_id</t>
        </is>
      </c>
      <c r="C57" t="inlineStr">
        <is>
          <t>object</t>
        </is>
      </c>
      <c r="D57" t="n">
        <v>99813</v>
      </c>
      <c r="E57" s="20" t="n">
        <v>0.6747517858395199</v>
      </c>
      <c r="F57" t="n">
        <v>150</v>
      </c>
      <c r="G57" t="inlineStr">
        <is>
          <t>D0012</t>
        </is>
      </c>
    </row>
    <row r="58">
      <c r="A58" t="inlineStr">
        <is>
          <t>fact_inquiry</t>
        </is>
      </c>
      <c r="B58" t="inlineStr">
        <is>
          <t>conversion_flag</t>
        </is>
      </c>
      <c r="C58" t="inlineStr">
        <is>
          <t>bool</t>
        </is>
      </c>
      <c r="D58" t="n">
        <v>99813</v>
      </c>
      <c r="E58" s="20" t="n">
        <v>0</v>
      </c>
      <c r="F58" t="n">
        <v>2</v>
      </c>
      <c r="G58" t="inlineStr">
        <is>
          <t>True</t>
        </is>
      </c>
    </row>
    <row r="59">
      <c r="A59" t="inlineStr">
        <is>
          <t>fact_inquiry</t>
        </is>
      </c>
      <c r="B59" t="inlineStr">
        <is>
          <t>days_to_conversion</t>
        </is>
      </c>
      <c r="C59" t="inlineStr">
        <is>
          <t>float64</t>
        </is>
      </c>
      <c r="D59" t="n">
        <v>99813</v>
      </c>
      <c r="E59" s="20" t="n">
        <v>0.6747517858395199</v>
      </c>
      <c r="F59" t="n">
        <v>14</v>
      </c>
      <c r="G59" t="inlineStr">
        <is>
          <t>2.0</t>
        </is>
      </c>
    </row>
    <row r="60">
      <c r="A60" t="inlineStr">
        <is>
          <t>fact_inquiry</t>
        </is>
      </c>
      <c r="B60" t="inlineStr">
        <is>
          <t>quote_count</t>
        </is>
      </c>
      <c r="C60" t="inlineStr">
        <is>
          <t>int64</t>
        </is>
      </c>
      <c r="D60" t="n">
        <v>99813</v>
      </c>
      <c r="E60" s="20" t="n">
        <v>0</v>
      </c>
      <c r="F60" t="n">
        <v>5</v>
      </c>
      <c r="G60" t="inlineStr">
        <is>
          <t>4</t>
        </is>
      </c>
    </row>
    <row r="61">
      <c r="A61" t="inlineStr">
        <is>
          <t>fact_inquiry</t>
        </is>
      </c>
      <c r="B61" t="inlineStr">
        <is>
          <t>highest_quote</t>
        </is>
      </c>
      <c r="C61" t="inlineStr">
        <is>
          <t>float64</t>
        </is>
      </c>
      <c r="D61" t="n">
        <v>99813</v>
      </c>
      <c r="E61" s="20" t="n">
        <v>0</v>
      </c>
      <c r="F61" t="n">
        <v>98704</v>
      </c>
      <c r="G61" t="inlineStr">
        <is>
          <t>4790.67</t>
        </is>
      </c>
    </row>
    <row r="62">
      <c r="A62" t="inlineStr">
        <is>
          <t>fact_inquiry</t>
        </is>
      </c>
      <c r="B62" t="inlineStr">
        <is>
          <t>lowest_quote</t>
        </is>
      </c>
      <c r="C62" t="inlineStr">
        <is>
          <t>float64</t>
        </is>
      </c>
      <c r="D62" t="n">
        <v>99813</v>
      </c>
      <c r="E62" s="20" t="n">
        <v>0</v>
      </c>
      <c r="F62" t="n">
        <v>98625</v>
      </c>
      <c r="G62" t="inlineStr">
        <is>
          <t>3773.62</t>
        </is>
      </c>
    </row>
    <row r="63">
      <c r="A63" t="inlineStr">
        <is>
          <t>fact_inquiry</t>
        </is>
      </c>
      <c r="B63" t="inlineStr">
        <is>
          <t>average_quote</t>
        </is>
      </c>
      <c r="C63" t="inlineStr">
        <is>
          <t>float64</t>
        </is>
      </c>
      <c r="D63" t="n">
        <v>99813</v>
      </c>
      <c r="E63" s="20" t="n">
        <v>0</v>
      </c>
      <c r="F63" t="n">
        <v>98595</v>
      </c>
      <c r="G63" t="inlineStr">
        <is>
          <t>4187.57</t>
        </is>
      </c>
    </row>
    <row r="64">
      <c r="A64" t="inlineStr">
        <is>
          <t>fact_inquiry</t>
        </is>
      </c>
      <c r="B64" t="inlineStr">
        <is>
          <t>fastest_response_hours</t>
        </is>
      </c>
      <c r="C64" t="inlineStr">
        <is>
          <t>float64</t>
        </is>
      </c>
      <c r="D64" t="n">
        <v>99813</v>
      </c>
      <c r="E64" s="20" t="n">
        <v>0</v>
      </c>
      <c r="F64" t="n">
        <v>2225</v>
      </c>
      <c r="G64" t="inlineStr">
        <is>
          <t>9.28</t>
        </is>
      </c>
    </row>
    <row r="65">
      <c r="A65" t="inlineStr">
        <is>
          <t>fact_inquiry</t>
        </is>
      </c>
      <c r="B65" t="inlineStr">
        <is>
          <t>quote_spread</t>
        </is>
      </c>
      <c r="C65" t="inlineStr">
        <is>
          <t>float64</t>
        </is>
      </c>
      <c r="D65" t="n">
        <v>99813</v>
      </c>
      <c r="E65" s="20" t="n">
        <v>0</v>
      </c>
      <c r="F65" t="n">
        <v>87484</v>
      </c>
      <c r="G65" t="inlineStr">
        <is>
          <t>1017.05</t>
        </is>
      </c>
    </row>
    <row r="66">
      <c r="A66" t="inlineStr">
        <is>
          <t>fact_inquiry</t>
        </is>
      </c>
      <c r="B66" t="inlineStr">
        <is>
          <t>quote_spread_pct</t>
        </is>
      </c>
      <c r="C66" t="inlineStr">
        <is>
          <t>float64</t>
        </is>
      </c>
      <c r="D66" t="n">
        <v>99813</v>
      </c>
      <c r="E66" s="20" t="n">
        <v>0</v>
      </c>
      <c r="F66" t="n">
        <v>3827</v>
      </c>
      <c r="G66" t="inlineStr">
        <is>
          <t>0.2695</t>
        </is>
      </c>
    </row>
    <row r="67">
      <c r="A67" t="inlineStr">
        <is>
          <t>fact_inquiry</t>
        </is>
      </c>
      <c r="B67" t="inlineStr">
        <is>
          <t>vehicle_age_at_inquiry</t>
        </is>
      </c>
      <c r="C67" t="inlineStr">
        <is>
          <t>int64</t>
        </is>
      </c>
      <c r="D67" t="n">
        <v>99813</v>
      </c>
      <c r="E67" s="20" t="n">
        <v>0</v>
      </c>
      <c r="F67" t="n">
        <v>19</v>
      </c>
      <c r="G67" t="inlineStr">
        <is>
          <t>12</t>
        </is>
      </c>
    </row>
    <row r="68">
      <c r="A68" t="inlineStr">
        <is>
          <t>fact_quote</t>
        </is>
      </c>
      <c r="B68" t="inlineStr">
        <is>
          <t>quote_id</t>
        </is>
      </c>
      <c r="C68" t="inlineStr">
        <is>
          <t>object</t>
        </is>
      </c>
      <c r="D68" t="n">
        <v>343120</v>
      </c>
      <c r="E68" s="20" t="n">
        <v>0</v>
      </c>
      <c r="F68" t="n">
        <v>343120</v>
      </c>
      <c r="G68" t="inlineStr">
        <is>
          <t>Q00000001</t>
        </is>
      </c>
    </row>
    <row r="69">
      <c r="A69" t="inlineStr">
        <is>
          <t>fact_quote</t>
        </is>
      </c>
      <c r="B69" t="inlineStr">
        <is>
          <t>inquiry_id</t>
        </is>
      </c>
      <c r="C69" t="inlineStr">
        <is>
          <t>object</t>
        </is>
      </c>
      <c r="D69" t="n">
        <v>343120</v>
      </c>
      <c r="E69" s="20" t="n">
        <v>0</v>
      </c>
      <c r="F69" t="n">
        <v>99813</v>
      </c>
      <c r="G69" t="inlineStr">
        <is>
          <t>I0000001</t>
        </is>
      </c>
    </row>
    <row r="70">
      <c r="A70" t="inlineStr">
        <is>
          <t>fact_quote</t>
        </is>
      </c>
      <c r="B70" t="inlineStr">
        <is>
          <t>dealer_id</t>
        </is>
      </c>
      <c r="C70" t="inlineStr">
        <is>
          <t>object</t>
        </is>
      </c>
      <c r="D70" t="n">
        <v>343120</v>
      </c>
      <c r="E70" s="20" t="n">
        <v>0</v>
      </c>
      <c r="F70" t="n">
        <v>150</v>
      </c>
      <c r="G70" t="inlineStr">
        <is>
          <t>D0012</t>
        </is>
      </c>
    </row>
    <row r="71">
      <c r="A71" t="inlineStr">
        <is>
          <t>fact_quote</t>
        </is>
      </c>
      <c r="B71" t="inlineStr">
        <is>
          <t>quote_date</t>
        </is>
      </c>
      <c r="C71" t="inlineStr">
        <is>
          <t>object</t>
        </is>
      </c>
      <c r="D71" t="n">
        <v>343120</v>
      </c>
      <c r="E71" s="20" t="n">
        <v>0</v>
      </c>
      <c r="F71" t="n">
        <v>1459</v>
      </c>
      <c r="G71" t="inlineStr">
        <is>
          <t>2025-03-20</t>
        </is>
      </c>
    </row>
    <row r="72">
      <c r="A72" t="inlineStr">
        <is>
          <t>fact_quote</t>
        </is>
      </c>
      <c r="B72" t="inlineStr">
        <is>
          <t>quote_amount</t>
        </is>
      </c>
      <c r="C72" t="inlineStr">
        <is>
          <t>float64</t>
        </is>
      </c>
      <c r="D72" t="n">
        <v>343120</v>
      </c>
      <c r="E72" s="20" t="n">
        <v>0</v>
      </c>
      <c r="F72" t="n">
        <v>329629</v>
      </c>
      <c r="G72" t="inlineStr">
        <is>
          <t>4790.67</t>
        </is>
      </c>
    </row>
    <row r="73">
      <c r="A73" t="inlineStr">
        <is>
          <t>fact_quote</t>
        </is>
      </c>
      <c r="B73" t="inlineStr">
        <is>
          <t>response_time_hours</t>
        </is>
      </c>
      <c r="C73" t="inlineStr">
        <is>
          <t>float64</t>
        </is>
      </c>
      <c r="D73" t="n">
        <v>343120</v>
      </c>
      <c r="E73" s="20" t="n">
        <v>0</v>
      </c>
      <c r="F73" t="n">
        <v>6546</v>
      </c>
      <c r="G73" t="inlineStr">
        <is>
          <t>17.44</t>
        </is>
      </c>
    </row>
    <row r="74">
      <c r="A74" t="inlineStr">
        <is>
          <t>fact_quote</t>
        </is>
      </c>
      <c r="B74" t="inlineStr">
        <is>
          <t>quote_rank</t>
        </is>
      </c>
      <c r="C74" t="inlineStr">
        <is>
          <t>int64</t>
        </is>
      </c>
      <c r="D74" t="n">
        <v>343120</v>
      </c>
      <c r="E74" s="20" t="n">
        <v>0</v>
      </c>
      <c r="F74" t="n">
        <v>5</v>
      </c>
      <c r="G74" t="inlineStr">
        <is>
          <t>1</t>
        </is>
      </c>
    </row>
    <row r="75">
      <c r="A75" t="inlineStr">
        <is>
          <t>fact_quote</t>
        </is>
      </c>
      <c r="B75" t="inlineStr">
        <is>
          <t>accepted_flag</t>
        </is>
      </c>
      <c r="C75" t="inlineStr">
        <is>
          <t>bool</t>
        </is>
      </c>
      <c r="D75" t="n">
        <v>343120</v>
      </c>
      <c r="E75" s="20" t="n">
        <v>0</v>
      </c>
      <c r="F75" t="n">
        <v>2</v>
      </c>
      <c r="G75" t="inlineStr">
        <is>
          <t>True</t>
        </is>
      </c>
    </row>
    <row r="76">
      <c r="A76" t="inlineStr">
        <is>
          <t>fact_quote</t>
        </is>
      </c>
      <c r="B76" t="inlineStr">
        <is>
          <t>estimated_market_value</t>
        </is>
      </c>
      <c r="C76" t="inlineStr">
        <is>
          <t>float64</t>
        </is>
      </c>
      <c r="D76" t="n">
        <v>343120</v>
      </c>
      <c r="E76" s="20" t="n">
        <v>0</v>
      </c>
      <c r="F76" t="n">
        <v>97915</v>
      </c>
      <c r="G76" t="inlineStr">
        <is>
          <t>4509.59</t>
        </is>
      </c>
    </row>
    <row r="77">
      <c r="A77" t="inlineStr">
        <is>
          <t>fact_quote</t>
        </is>
      </c>
      <c r="B77" t="inlineStr">
        <is>
          <t>quote_to_market_ratio</t>
        </is>
      </c>
      <c r="C77" t="inlineStr">
        <is>
          <t>float64</t>
        </is>
      </c>
      <c r="D77" t="n">
        <v>343120</v>
      </c>
      <c r="E77" s="20" t="n">
        <v>0</v>
      </c>
      <c r="F77" t="n">
        <v>4103</v>
      </c>
      <c r="G77" t="inlineStr">
        <is>
          <t>1.0623</t>
        </is>
      </c>
    </row>
    <row r="78">
      <c r="A78" t="inlineStr">
        <is>
          <t>fact_quote</t>
        </is>
      </c>
      <c r="B78" t="inlineStr">
        <is>
          <t>anomaly_flag</t>
        </is>
      </c>
      <c r="C78" t="inlineStr">
        <is>
          <t>bool</t>
        </is>
      </c>
      <c r="D78" t="n">
        <v>343120</v>
      </c>
      <c r="E78" s="20" t="n">
        <v>0</v>
      </c>
      <c r="F78" t="n">
        <v>2</v>
      </c>
      <c r="G78" t="inlineStr">
        <is>
          <t>False</t>
        </is>
      </c>
    </row>
    <row r="79">
      <c r="A79" t="inlineStr">
        <is>
          <t>pipeline_run_summary</t>
        </is>
      </c>
      <c r="B79" t="inlineStr">
        <is>
          <t>table_name</t>
        </is>
      </c>
      <c r="C79" t="inlineStr">
        <is>
          <t>object</t>
        </is>
      </c>
      <c r="D79" t="n">
        <v>6</v>
      </c>
      <c r="E79" s="20" t="n">
        <v>0</v>
      </c>
      <c r="F79" t="n">
        <v>6</v>
      </c>
      <c r="G79" t="inlineStr">
        <is>
          <t>dim_customer</t>
        </is>
      </c>
    </row>
    <row r="80">
      <c r="A80" t="inlineStr">
        <is>
          <t>pipeline_run_summary</t>
        </is>
      </c>
      <c r="B80" t="inlineStr">
        <is>
          <t>raw_records</t>
        </is>
      </c>
      <c r="C80" t="inlineStr">
        <is>
          <t>int64</t>
        </is>
      </c>
      <c r="D80" t="n">
        <v>6</v>
      </c>
      <c r="E80" s="20" t="n">
        <v>0</v>
      </c>
      <c r="F80" t="n">
        <v>6</v>
      </c>
      <c r="G80" t="inlineStr">
        <is>
          <t>50050</t>
        </is>
      </c>
    </row>
    <row r="81">
      <c r="A81" t="inlineStr">
        <is>
          <t>pipeline_run_summary</t>
        </is>
      </c>
      <c r="B81" t="inlineStr">
        <is>
          <t>duplicate_records</t>
        </is>
      </c>
      <c r="C81" t="inlineStr">
        <is>
          <t>int64</t>
        </is>
      </c>
      <c r="D81" t="n">
        <v>6</v>
      </c>
      <c r="E81" s="20" t="n">
        <v>0</v>
      </c>
      <c r="F81" t="n">
        <v>5</v>
      </c>
      <c r="G81" t="inlineStr">
        <is>
          <t>50</t>
        </is>
      </c>
    </row>
    <row r="82">
      <c r="A82" t="inlineStr">
        <is>
          <t>pipeline_run_summary</t>
        </is>
      </c>
      <c r="B82" t="inlineStr">
        <is>
          <t>corrected_records</t>
        </is>
      </c>
      <c r="C82" t="inlineStr">
        <is>
          <t>int64</t>
        </is>
      </c>
      <c r="D82" t="n">
        <v>6</v>
      </c>
      <c r="E82" s="20" t="n">
        <v>0</v>
      </c>
      <c r="F82" t="n">
        <v>6</v>
      </c>
      <c r="G82" t="inlineStr">
        <is>
          <t>366</t>
        </is>
      </c>
    </row>
    <row r="83">
      <c r="A83" t="inlineStr">
        <is>
          <t>pipeline_run_summary</t>
        </is>
      </c>
      <c r="B83" t="inlineStr">
        <is>
          <t>quarantined_records</t>
        </is>
      </c>
      <c r="C83" t="inlineStr">
        <is>
          <t>int64</t>
        </is>
      </c>
      <c r="D83" t="n">
        <v>6</v>
      </c>
      <c r="E83" s="20" t="n">
        <v>0</v>
      </c>
      <c r="F83" t="n">
        <v>6</v>
      </c>
      <c r="G83" t="inlineStr">
        <is>
          <t>50</t>
        </is>
      </c>
    </row>
    <row r="84">
      <c r="A84" t="inlineStr">
        <is>
          <t>pipeline_run_summary</t>
        </is>
      </c>
      <c r="B84" t="inlineStr">
        <is>
          <t>clean_records</t>
        </is>
      </c>
      <c r="C84" t="inlineStr">
        <is>
          <t>int64</t>
        </is>
      </c>
      <c r="D84" t="n">
        <v>6</v>
      </c>
      <c r="E84" s="20" t="n">
        <v>0</v>
      </c>
      <c r="F84" t="n">
        <v>6</v>
      </c>
      <c r="G84" t="inlineStr">
        <is>
          <t>50000</t>
        </is>
      </c>
    </row>
    <row r="85">
      <c r="A85" t="inlineStr">
        <is>
          <t>pipeline_run_summary</t>
        </is>
      </c>
      <c r="B85" t="inlineStr">
        <is>
          <t>loaded_records</t>
        </is>
      </c>
      <c r="C85" t="inlineStr">
        <is>
          <t>int64</t>
        </is>
      </c>
      <c r="D85" t="n">
        <v>6</v>
      </c>
      <c r="E85" s="20" t="n">
        <v>0</v>
      </c>
      <c r="F85" t="n">
        <v>1</v>
      </c>
      <c r="G85" t="inlineStr">
        <is>
          <t>0</t>
        </is>
      </c>
    </row>
    <row r="86">
      <c r="A86" t="inlineStr">
        <is>
          <t>pipeline_run_summary</t>
        </is>
      </c>
      <c r="B86" t="inlineStr">
        <is>
          <t>load_status</t>
        </is>
      </c>
      <c r="C86" t="inlineStr">
        <is>
          <t>object</t>
        </is>
      </c>
      <c r="D86" t="n">
        <v>6</v>
      </c>
      <c r="E86" s="20" t="n">
        <v>0</v>
      </c>
      <c r="F86" t="n">
        <v>1</v>
      </c>
      <c r="G86" t="inlineStr">
        <is>
          <t>Ready</t>
        </is>
      </c>
    </row>
    <row r="87">
      <c r="A87" t="inlineStr">
        <is>
          <t>quarantined_records</t>
        </is>
      </c>
      <c r="B87" t="inlineStr">
        <is>
          <t>quarantine_id</t>
        </is>
      </c>
      <c r="C87" t="inlineStr">
        <is>
          <t>object</t>
        </is>
      </c>
      <c r="D87" t="n">
        <v>2735</v>
      </c>
      <c r="E87" s="20" t="n">
        <v>0</v>
      </c>
      <c r="F87" t="n">
        <v>2735</v>
      </c>
      <c r="G87" t="inlineStr">
        <is>
          <t>QR0000001</t>
        </is>
      </c>
    </row>
    <row r="88">
      <c r="A88" t="inlineStr">
        <is>
          <t>quarantined_records</t>
        </is>
      </c>
      <c r="B88" t="inlineStr">
        <is>
          <t>table_name</t>
        </is>
      </c>
      <c r="C88" t="inlineStr">
        <is>
          <t>object</t>
        </is>
      </c>
      <c r="D88" t="n">
        <v>2735</v>
      </c>
      <c r="E88" s="20" t="n">
        <v>0</v>
      </c>
      <c r="F88" t="n">
        <v>5</v>
      </c>
      <c r="G88" t="inlineStr">
        <is>
          <t>dim_customer</t>
        </is>
      </c>
    </row>
    <row r="89">
      <c r="A89" t="inlineStr">
        <is>
          <t>quarantined_records</t>
        </is>
      </c>
      <c r="B89" t="inlineStr">
        <is>
          <t>record_id</t>
        </is>
      </c>
      <c r="C89" t="inlineStr">
        <is>
          <t>object</t>
        </is>
      </c>
      <c r="D89" t="n">
        <v>2735</v>
      </c>
      <c r="E89" s="20" t="n">
        <v>0</v>
      </c>
      <c r="F89" t="n">
        <v>2731</v>
      </c>
      <c r="G89" t="inlineStr">
        <is>
          <t>C043073</t>
        </is>
      </c>
    </row>
    <row r="90">
      <c r="A90" t="inlineStr">
        <is>
          <t>quarantined_records</t>
        </is>
      </c>
      <c r="B90" t="inlineStr">
        <is>
          <t>issue_type</t>
        </is>
      </c>
      <c r="C90" t="inlineStr">
        <is>
          <t>object</t>
        </is>
      </c>
      <c r="D90" t="n">
        <v>2735</v>
      </c>
      <c r="E90" s="20" t="n">
        <v>0</v>
      </c>
      <c r="F90" t="n">
        <v>6</v>
      </c>
      <c r="G90" t="inlineStr">
        <is>
          <t>duplicate_primary_key</t>
        </is>
      </c>
    </row>
    <row r="91">
      <c r="A91" t="inlineStr">
        <is>
          <t>quarantined_records</t>
        </is>
      </c>
      <c r="B91" t="inlineStr">
        <is>
          <t>action</t>
        </is>
      </c>
      <c r="C91" t="inlineStr">
        <is>
          <t>object</t>
        </is>
      </c>
      <c r="D91" t="n">
        <v>2735</v>
      </c>
      <c r="E91" s="20" t="n">
        <v>0</v>
      </c>
      <c r="F91" t="n">
        <v>6</v>
      </c>
      <c r="G91" t="inlineStr">
        <is>
          <t>Keep first occurrence; quarantine later duplicate</t>
        </is>
      </c>
    </row>
    <row r="92">
      <c r="A92" t="inlineStr">
        <is>
          <t>quarantined_records</t>
        </is>
      </c>
      <c r="B92" t="inlineStr">
        <is>
          <t>detected_at</t>
        </is>
      </c>
      <c r="C92" t="inlineStr">
        <is>
          <t>object</t>
        </is>
      </c>
      <c r="D92" t="n">
        <v>2735</v>
      </c>
      <c r="E92" s="20" t="n">
        <v>0</v>
      </c>
      <c r="F92" t="n">
        <v>1</v>
      </c>
      <c r="G92" t="inlineStr">
        <is>
          <t>2026-01-01T00:00:00Z</t>
        </is>
      </c>
    </row>
    <row r="93">
      <c r="A93" t="inlineStr">
        <is>
          <t>quarantined_records</t>
        </is>
      </c>
      <c r="B93" t="inlineStr">
        <is>
          <t>record_payload</t>
        </is>
      </c>
      <c r="C93" t="inlineStr">
        <is>
          <t>object</t>
        </is>
      </c>
      <c r="D93" t="n">
        <v>2735</v>
      </c>
      <c r="E93" s="20" t="n">
        <v>0</v>
      </c>
      <c r="F93" t="n">
        <v>2732</v>
      </c>
      <c r="G93" t="inlineStr">
        <is>
          <t>{"age_group": "45-54", "canton": "ZG", "customer_created_date": "2023-11-13", "c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metric_name</t>
        </is>
      </c>
      <c r="B1" t="inlineStr">
        <is>
          <t>value</t>
        </is>
      </c>
    </row>
    <row r="2">
      <c r="A2" t="inlineStr">
        <is>
          <t>active_dealers</t>
        </is>
      </c>
      <c r="B2" t="n">
        <v>136</v>
      </c>
    </row>
    <row r="3">
      <c r="A3" t="inlineStr">
        <is>
          <t>average_fastest_response_hours</t>
        </is>
      </c>
      <c r="B3" t="n">
        <v>5.866584613226733</v>
      </c>
    </row>
    <row r="4">
      <c r="A4" t="inlineStr">
        <is>
          <t>average_quote_response_hours</t>
        </is>
      </c>
      <c r="B4" t="n">
        <v>12.07969430519935</v>
      </c>
    </row>
    <row r="5">
      <c r="A5" t="inlineStr">
        <is>
          <t>average_quote_spread</t>
        </is>
      </c>
      <c r="B5" t="n">
        <v>1769.285178583952</v>
      </c>
    </row>
    <row r="6">
      <c r="A6" t="inlineStr">
        <is>
          <t>average_quote_spread_pct</t>
        </is>
      </c>
      <c r="B6" t="n">
        <v>0.1043560027250959</v>
      </c>
    </row>
    <row r="7">
      <c r="A7" t="inlineStr">
        <is>
          <t>average_quotes_per_inquiry</t>
        </is>
      </c>
      <c r="B7" t="n">
        <v>3.43762836504263</v>
      </c>
    </row>
    <row r="8">
      <c r="A8" t="inlineStr">
        <is>
          <t>average_sale_value</t>
        </is>
      </c>
      <c r="B8" t="n">
        <v>21410.97753419172</v>
      </c>
    </row>
    <row r="9">
      <c r="A9" t="inlineStr">
        <is>
          <t>conversion_rate</t>
        </is>
      </c>
      <c r="B9" t="n">
        <v>0.3252482141604801</v>
      </c>
    </row>
    <row r="10">
      <c r="A10" t="inlineStr">
        <is>
          <t>converted_inquiries</t>
        </is>
      </c>
      <c r="B10" t="n">
        <v>32464</v>
      </c>
    </row>
    <row r="11">
      <c r="A11" t="inlineStr">
        <is>
          <t>processed_data_quality_score</t>
        </is>
      </c>
      <c r="B11" t="n">
        <v>1</v>
      </c>
    </row>
    <row r="12">
      <c r="A12" t="inlineStr">
        <is>
          <t>quote_anomalies</t>
        </is>
      </c>
      <c r="B12" t="n">
        <v>1162</v>
      </c>
    </row>
    <row r="13">
      <c r="A13" t="inlineStr">
        <is>
          <t>quote_anomaly_rate</t>
        </is>
      </c>
      <c r="B13" t="n">
        <v>0.003386570296106318</v>
      </c>
    </row>
    <row r="14">
      <c r="A14" t="inlineStr">
        <is>
          <t>raw_data_quality_score</t>
        </is>
      </c>
      <c r="B14" t="n">
        <v>0.9994744197837068</v>
      </c>
    </row>
    <row r="15">
      <c r="A15" t="inlineStr">
        <is>
          <t>total_accepted_value</t>
        </is>
      </c>
      <c r="B15" t="n">
        <v>695085974.67</v>
      </c>
    </row>
    <row r="16">
      <c r="A16" t="inlineStr">
        <is>
          <t>total_inquiries</t>
        </is>
      </c>
      <c r="B16" t="n">
        <v>99813</v>
      </c>
    </row>
    <row r="17">
      <c r="A17" t="inlineStr">
        <is>
          <t>total_quotes</t>
        </is>
      </c>
      <c r="B17" t="n">
        <v>343120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Automotive Commercial Analytics</dc:creator>
  <dc:title>Swiss Automotive Commercial Decision Workbook</dc:title>
  <dc:subject>Synthetic marketplace KPI and data-quality analysis</dc:subject>
  <dcterms:created xsi:type="dcterms:W3CDTF">2026-08-11T13:48:06Z</dcterms:created>
  <dcterms:modified xsi:type="dcterms:W3CDTF">2026-08-11T13:48:06Z</dcterms:modified>
</cp:coreProperties>
</file>